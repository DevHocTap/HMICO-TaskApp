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561a907b7ce4853/Hoang Minh/Long/KPI mau/"/>
    </mc:Choice>
  </mc:AlternateContent>
  <xr:revisionPtr revIDLastSave="2" documentId="8_{910DA24C-6C1D-46C6-A4C3-2DFC8A6CE1D7}" xr6:coauthVersionLast="47" xr6:coauthVersionMax="47" xr10:uidLastSave="{32ED7521-F47C-4D6E-BF21-6A5690A8E96A}"/>
  <bookViews>
    <workbookView xWindow="-108" yWindow="-108" windowWidth="23256" windowHeight="12456" xr2:uid="{4A6D3853-6266-5646-B587-DD03D25661DD}"/>
  </bookViews>
  <sheets>
    <sheet name="TP_Ky_thuat" sheetId="1" r:id="rId1"/>
    <sheet name="Sheet1" sheetId="2" r:id="rId2"/>
  </sheets>
  <definedNames>
    <definedName name="_xlnm.Print_Area" localSheetId="0">TP_Ky_thuat!$A$1:$L$35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9" i="1" l="1"/>
  <c r="F18" i="1"/>
  <c r="F17" i="1"/>
  <c r="F16" i="1"/>
  <c r="I43" i="2"/>
  <c r="G43" i="2"/>
  <c r="I50" i="2"/>
  <c r="G50" i="2"/>
  <c r="I49" i="2"/>
  <c r="G49" i="2"/>
  <c r="I41" i="2"/>
  <c r="I34" i="2" s="1"/>
  <c r="G41" i="2"/>
  <c r="G34" i="2" s="1"/>
  <c r="I23" i="2"/>
  <c r="G23" i="2"/>
  <c r="I8" i="2"/>
  <c r="G8" i="2"/>
  <c r="I7" i="2"/>
  <c r="G7" i="2"/>
  <c r="I6" i="2"/>
  <c r="G6" i="2"/>
  <c r="I5" i="2"/>
  <c r="G5" i="2"/>
  <c r="I31" i="2"/>
  <c r="G31" i="2"/>
  <c r="I30" i="2"/>
  <c r="G30" i="2"/>
  <c r="I48" i="2"/>
  <c r="G48" i="2"/>
  <c r="I47" i="2"/>
  <c r="G47" i="2"/>
  <c r="I46" i="2"/>
  <c r="G46" i="2"/>
  <c r="I45" i="2"/>
  <c r="G45" i="2"/>
  <c r="I40" i="2"/>
  <c r="I39" i="2"/>
  <c r="I38" i="2"/>
  <c r="I37" i="2"/>
  <c r="I36" i="2"/>
  <c r="G37" i="2"/>
  <c r="G38" i="2"/>
  <c r="G39" i="2"/>
  <c r="G40" i="2"/>
  <c r="G36" i="2"/>
  <c r="I29" i="2"/>
  <c r="G29" i="2"/>
  <c r="I28" i="2"/>
  <c r="G28" i="2"/>
  <c r="I27" i="2"/>
  <c r="G27" i="2"/>
  <c r="I22" i="2"/>
  <c r="G22" i="2"/>
  <c r="I21" i="2"/>
  <c r="G21" i="2"/>
  <c r="I20" i="2"/>
  <c r="G20" i="2"/>
  <c r="I13" i="2"/>
  <c r="I14" i="2"/>
  <c r="I15" i="2"/>
  <c r="I16" i="2"/>
  <c r="I12" i="2"/>
  <c r="I4" i="2"/>
  <c r="G16" i="2"/>
  <c r="G15" i="2"/>
  <c r="G14" i="2"/>
  <c r="G13" i="2"/>
  <c r="G12" i="2"/>
  <c r="G4" i="2"/>
  <c r="D26" i="1"/>
  <c r="J25" i="1"/>
  <c r="K25" i="1" s="1"/>
  <c r="G25" i="1"/>
  <c r="H25" i="1" s="1"/>
  <c r="J24" i="1"/>
  <c r="K24" i="1" s="1"/>
  <c r="G24" i="1"/>
  <c r="H24" i="1" s="1"/>
  <c r="J23" i="1"/>
  <c r="K23" i="1" s="1"/>
  <c r="G23" i="1"/>
  <c r="H23" i="1" s="1"/>
  <c r="D21" i="1"/>
  <c r="G2" i="2" l="1"/>
  <c r="F15" i="1" s="1"/>
  <c r="G15" i="1" s="1"/>
  <c r="H15" i="1" s="1"/>
  <c r="I2" i="2"/>
  <c r="I15" i="1" s="1"/>
  <c r="J15" i="1" s="1"/>
  <c r="K15" i="1" s="1"/>
  <c r="I18" i="2"/>
  <c r="I17" i="1" s="1"/>
  <c r="J17" i="1" s="1"/>
  <c r="K17" i="1" s="1"/>
  <c r="G18" i="2"/>
  <c r="I25" i="2"/>
  <c r="I18" i="1" s="1"/>
  <c r="J18" i="1" s="1"/>
  <c r="K18" i="1" s="1"/>
  <c r="G25" i="2"/>
  <c r="G18" i="1" s="1"/>
  <c r="H18" i="1" s="1"/>
  <c r="I10" i="2"/>
  <c r="I16" i="1" s="1"/>
  <c r="J16" i="1" s="1"/>
  <c r="K16" i="1" s="1"/>
  <c r="I19" i="1"/>
  <c r="J19" i="1" s="1"/>
  <c r="K19" i="1" s="1"/>
  <c r="G10" i="2"/>
  <c r="F20" i="1"/>
  <c r="G20" i="1" s="1"/>
  <c r="H20" i="1" s="1"/>
  <c r="I20" i="1"/>
  <c r="J20" i="1" s="1"/>
  <c r="K20" i="1" s="1"/>
  <c r="G19" i="1"/>
  <c r="H19" i="1" s="1"/>
  <c r="H26" i="1"/>
  <c r="K26" i="1"/>
  <c r="A27" i="1"/>
  <c r="G17" i="1" l="1"/>
  <c r="H17" i="1" s="1"/>
  <c r="G16" i="1"/>
  <c r="H16" i="1" s="1"/>
  <c r="K21" i="1"/>
  <c r="K27" i="1" s="1"/>
  <c r="F28" i="1" s="1"/>
  <c r="H21" i="1" l="1"/>
  <c r="H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HMICO - HCNS</author>
    <author>Nguyễn Thế Cường</author>
  </authors>
  <commentList>
    <comment ref="B15" authorId="0" shapeId="0" xr:uid="{D0007AB0-9BEA-A841-BB5B-723073F08000}">
      <text>
        <r>
          <rPr>
            <sz val="11"/>
            <color theme="1"/>
            <rFont val="Calibri"/>
            <family val="2"/>
            <charset val="1"/>
          </rPr>
          <t>Chỉ tiêu cụ thể: % hoàn thành kế hoạch/ chỉ tiêu chung của bộ phận trong tháng.</t>
        </r>
      </text>
    </comment>
    <comment ref="B16" authorId="0" shapeId="0" xr:uid="{DBF92732-F81C-6C4E-BA8B-A06EDFE006A3}">
      <text>
        <r>
          <rPr>
            <sz val="11"/>
            <color theme="1"/>
            <rFont val="Calibri"/>
            <family val="2"/>
            <charset val="1"/>
          </rPr>
          <t>Chỉ tiêu cụ thể: số lượt giám sát, nhắc nhở, xử lý vi phạm của nhân viên trực thuộc được ghi nhận kịp thời trong tháng.</t>
        </r>
      </text>
    </comment>
    <comment ref="B17" authorId="0" shapeId="0" xr:uid="{94AFEB12-1376-2941-B7E2-B2B783EFA8D6}">
      <text>
        <r>
          <rPr>
            <sz val="11"/>
            <color theme="1"/>
            <rFont val="Calibri"/>
            <family val="2"/>
            <charset val="1"/>
          </rPr>
          <t>Chỉ tiêu cụ thể: % nhân viên trực thuộc đạt KPI Khá (&gt;=90%) trở lên trong tháng.</t>
        </r>
      </text>
    </comment>
    <comment ref="B18" authorId="0" shapeId="0" xr:uid="{CC1BD9AC-84DF-E046-839F-583B40A5D9F7}">
      <text>
        <r>
          <rPr>
            <sz val="11"/>
            <color theme="1"/>
            <rFont val="Calibri"/>
            <family val="2"/>
            <charset val="1"/>
          </rPr>
          <t>Chỉ tiêu cụ thể: số buổi đào tạo/ hướng dẫn/ kèm cặp nhân viên trực thuộc trong tháng.</t>
        </r>
      </text>
    </comment>
    <comment ref="B19" authorId="1" shapeId="0" xr:uid="{7139E108-AA3A-B74D-9CD1-7B1B894E5957}">
      <text>
        <r>
          <rPr>
            <sz val="11"/>
            <color theme="1"/>
            <rFont val="Calibri"/>
            <family val="2"/>
            <charset val="1"/>
          </rPr>
          <t>Nguyễn Thế Cường:
Công việc được giao, có xác nhận thực hiện.</t>
        </r>
      </text>
    </comment>
    <comment ref="B23" authorId="0" shapeId="0" xr:uid="{C864DE89-7263-EE44-B712-B625E9102B57}">
      <text>
        <r>
          <rPr>
            <sz val="11"/>
            <color theme="1"/>
            <rFont val="Calibri"/>
            <family val="2"/>
            <charset val="1"/>
          </rPr>
          <t>Chỉ tiêu cụ thể: số lần đi trễ/ về sớm không phép trong tháng (mục tiêu: 0 lần).</t>
        </r>
      </text>
    </comment>
    <comment ref="C23" authorId="1" shapeId="0" xr:uid="{5A0B0C58-3F1A-D545-9301-F7298B11E0DE}">
      <text>
        <r>
          <rPr>
            <sz val="11"/>
            <color theme="1"/>
            <rFont val="Calibri"/>
            <family val="2"/>
            <charset val="1"/>
          </rPr>
          <t>Nguyễn Thế Cường:
Đi trễ về sớm, không có lý do chính đáng mặc định trừ 1 điểm</t>
        </r>
      </text>
    </comment>
    <comment ref="B24" authorId="0" shapeId="0" xr:uid="{E9335B81-1175-0241-B160-2F3D3BFF3C9C}">
      <text>
        <r>
          <rPr>
            <sz val="11"/>
            <color theme="1"/>
            <rFont val="Calibri"/>
            <family val="2"/>
            <charset val="1"/>
          </rPr>
          <t>Chỉ tiêu cụ thể: số vụ vi phạm nội quy của bộ phận không được phát hiện/ xử lý kịp thời (mục tiêu: 0 vụ).</t>
        </r>
      </text>
    </comment>
    <comment ref="B25" authorId="0" shapeId="0" xr:uid="{5B826264-E7A5-6443-846B-B5530116B950}">
      <text>
        <r>
          <rPr>
            <sz val="11"/>
            <color theme="1"/>
            <rFont val="Calibri"/>
            <family val="2"/>
            <charset val="1"/>
          </rPr>
          <t>Chỉ tiêu cụ thể: số lần được ghi nhận/ phản ánh về thái độ, tinh thần gương mẫu trong tháng.</t>
        </r>
      </text>
    </comment>
  </commentList>
</comments>
</file>

<file path=xl/sharedStrings.xml><?xml version="1.0" encoding="utf-8"?>
<sst xmlns="http://schemas.openxmlformats.org/spreadsheetml/2006/main" count="213" uniqueCount="106">
  <si>
    <t>CÔNG TY CỔ PHẦN ĐẦU TƯ CÔNG NGHỆ HOÀNG MINH (HMICO)</t>
  </si>
  <si>
    <t>CỘNG HÒA XÃ HỘI CHỦ NGHĨA VIỆT NAM</t>
  </si>
  <si>
    <t>BM.01-KPI.KYTHUAT</t>
  </si>
  <si>
    <t>Độc lập - Tự do - Hạnh phúc</t>
  </si>
  <si>
    <t>BIỂU MẪU ĐÁNH GIÁ KPI HOÀN THÀNH CÔNG VIỆC</t>
  </si>
  <si>
    <t>Tháng: 08/2026</t>
  </si>
  <si>
    <t>Họ và tên:</t>
  </si>
  <si>
    <t>Cấp bậc (Level):</t>
  </si>
  <si>
    <t>Mã nhân viên:</t>
  </si>
  <si>
    <t>Kỳ đánh giá (Tháng/Năm):</t>
  </si>
  <si>
    <t>Phòng/ Ban:</t>
  </si>
  <si>
    <t>Phòng Kỹ thuật</t>
  </si>
  <si>
    <t>Người đánh giá (Trưởng bộ phận):</t>
  </si>
  <si>
    <t>Chức danh:</t>
  </si>
  <si>
    <t>Ngày đánh giá:</t>
  </si>
  <si>
    <t>MỤC 1. BSC CÔNG VIỆC (BALANCED SCORECARD)  -  Tổng trọng số: 70%</t>
  </si>
  <si>
    <t>STT</t>
  </si>
  <si>
    <t>Mục tiêu/ Tiêu chí đánh giá</t>
  </si>
  <si>
    <t>Chỉ tiêu cụ thể</t>
  </si>
  <si>
    <t>Trọng số
(%)</t>
  </si>
  <si>
    <t>Thang điểm
tối đa</t>
  </si>
  <si>
    <t>NGƯỜI LAO ĐỘNG TỰ ĐÁNH GIÁ</t>
  </si>
  <si>
    <t>TRƯỞNG BỘ PHẬN ĐÁNH GIÁ</t>
  </si>
  <si>
    <t>Ghi chú</t>
  </si>
  <si>
    <t>Điểm đạt
được</t>
  </si>
  <si>
    <t>% đạt
tiêu chí</t>
  </si>
  <si>
    <t>% đóng
góp/tổng</t>
  </si>
  <si>
    <t>Cộng Mục 1 (BSC công việc)</t>
  </si>
  <si>
    <t>MỤC 2. CHẤP HÀNH NỘI QUY, QUY ĐỊNH CÔNG TY  -  Tổng trọng số: 30%</t>
  </si>
  <si>
    <t>Số lần đi trễ/ về sớm không phép</t>
  </si>
  <si>
    <t>Số lần đi trễ/ về sớm trên 30 phút.</t>
  </si>
  <si>
    <t>Vi phạm bộ phận chưa xử lý kịp thời</t>
  </si>
  <si>
    <t>Giữ gìn văn hóa doanh nghiệp, chấp hành nội quy lao động.</t>
  </si>
  <si>
    <t>Cộng Mục 2 (Chấp hành nội quy)</t>
  </si>
  <si>
    <t>TỔNG (NLĐ tự ĐG):</t>
  </si>
  <si>
    <t>TỔNG (QL đánh giá):</t>
  </si>
  <si>
    <t>XẾP LOẠI KẾT QUẢ ĐÁNH GIÁ</t>
  </si>
  <si>
    <t>Thang xếp loại (4 bậc, theo Tổng điểm KPI - QL đánh giá):  &lt;80% Chưa đạt | 80-89% Cần cải thiện | 90-100% Hoàn thành | &gt;100% Vượt chỉ tiêu (mức tham chiếu 100-120%)</t>
  </si>
  <si>
    <t>(*) Chưa đạt (&lt;80%): Không hoàn thành nhiều chỉ tiêu quan trọng, cần xem xét lại thái độ và năng lực, có thể cân nhắc lại tính hiệu quả công việc.</t>
  </si>
  <si>
    <t>NGƯỜI LAO ĐỘNG</t>
  </si>
  <si>
    <t>TRƯỞNG BỘ PHẬN</t>
  </si>
  <si>
    <t>PHÒNG HCNS</t>
  </si>
  <si>
    <t>BAN GIÁM ĐỐC</t>
  </si>
  <si>
    <t>Ký ghi rõ họ tên</t>
  </si>
  <si>
    <t>Ký ghi rõ họ tên 
(Trường hợp phải soát xét)</t>
  </si>
  <si>
    <t>Gửi kết quả đánh giá về Phòng HCNS trước ngày 02 tháng kế tiếp.</t>
  </si>
  <si>
    <t>Kỹ sư triển khai</t>
  </si>
  <si>
    <t>KPI</t>
  </si>
  <si>
    <t>Cách đo</t>
  </si>
  <si>
    <t>Mục tiêu</t>
  </si>
  <si>
    <t>≥ 95%</t>
  </si>
  <si>
    <t>≥ 90%</t>
  </si>
  <si>
    <t>Trọng số</t>
  </si>
  <si>
    <t>Điểm đạt được</t>
  </si>
  <si>
    <t>Điểm hoàn thành</t>
  </si>
  <si>
    <t>Kỹ thuật chấm</t>
  </si>
  <si>
    <t>Trưởng phòng chấm</t>
  </si>
  <si>
    <t>Tiến độ hoàn thành Shop Drawing</t>
  </si>
  <si>
    <t>Hoàn thành bản vẽ đúng kế hoạch; đáp ứng tiến độ phát hành, trình duyệt và điều chỉnh theo yêu cầu dự án. Chủ động cảnh báo khi có nguy cơ chậm tiến độ.</t>
  </si>
  <si>
    <t>Độ chính xác của bản vẽ</t>
  </si>
  <si>
    <t>90% bản vẽ thể hiện đúng thiết kế, BOQ, thông số thiết bị, kích thước, vị trí lắp đặt, kết nối và các yêu cầu kỹ thuật. Hạn chế sai sót phải sửa lại.</t>
  </si>
  <si>
    <t>Tính đầy đủ &amp; đồng bộ của hồ sơ</t>
  </si>
  <si>
    <t>Đầy đủ các bản vẽ cần thiết: layout, detail, schematic, wiring/connection, mounting, rack layout... Các bản vẽ thống nhất thông tin, ký hiệu, mã thiết bị và revision.</t>
  </si>
  <si>
    <t>Tính khả thi thi công</t>
  </si>
  <si>
    <t>Bản vẽ phải thể hiện được phương án có thể triển khai thực tế: vị trí, kích thước, cao độ, tuyến cáp, giá đỡ, khoảng không gian lắp đặt, phương án đấu nối... Hạn chế tình trạng bản vẽ đúng trên giấy nhưng khó/không thể thi công.</t>
  </si>
  <si>
    <t>Phối hợp &amp; xử lý yêu cầu kỹ thuật</t>
  </si>
  <si>
    <t>Phối hợp với Project Manager, kỹ thuật triển khai, tư vấn, khách hàng và các bộ môn liên quan; tiếp nhận và cập nhật comment; xử lý các vấn đề xung đột giữa bản vẽ và thực tế.</t>
  </si>
  <si>
    <t>Quản lý hồ sơ &amp; kiểm soát Revision</t>
  </si>
  <si>
    <t>Đặt tên file, mã bản vẽ, revision, ngày phát hành, lưu trữ và cập nhật hồ sơ đúng quy định. Đảm bảo sử dụng đúng phiên bản mới nhất và không phát hành nhầm bản cũ.</t>
  </si>
  <si>
    <t>Tỷ lệ bản vẽ hoàn thành đúng thời hạn = Số bản vẽ hoàn thành đúng hạn / Tổng số bản vẽ được giao × 100%</t>
  </si>
  <si>
    <t>Hoàn thành bản vẽ theo kế hoạch được giao.</t>
  </si>
  <si>
    <t>Đảm bảo thời gian phát hành bản vẽ phục vụ thi công/trình duyệt.</t>
  </si>
  <si>
    <t>Chủ động cập nhật tiến độ và cảnh báo sớm khi có nguy cơ chậm.</t>
  </si>
  <si>
    <t>Ưu tiên xử lý các bản vẽ ảnh hưởng trực tiếp đến tiến độ thi công.</t>
  </si>
  <si>
    <t>Hoàn thành việc chỉnh sửa/re-submit theo thời hạn yêu cầu.</t>
  </si>
  <si>
    <t>Thể hiện đúng thiết kế, BOQ, thông số kỹ thuật và yêu cầu của dự án.</t>
  </si>
  <si>
    <t>Chính xác về model, mã thiết bị, số lượng, kích thước, vị trí, cao độ và kết nối.</t>
  </si>
  <si>
    <t>Các thông tin trên các bản vẽ phải thống nhất với nhau.</t>
  </si>
  <si>
    <t>Hạn chế lỗi sai phải chỉnh sửa sau khi phát hành.</t>
  </si>
  <si>
    <t>Không bỏ sót các thay đổi đã được phê duyệt.</t>
  </si>
  <si>
    <t>Tỷ lệ bản vẽ đạt  = Số bản vẽ không có lỗi nghiêm trọng / Tổng số bản vẽ được kiểm tra × 100%.</t>
  </si>
  <si>
    <t>Đầy đủ các bản vẽ theo SOW/yêu cầu dự án.</t>
  </si>
  <si>
    <t>Bao gồm các bản vẽ cần thiết như Layout, Schematic, Wiring/Connection Diagram, Rack Layout, Detail, Mounting, Cable Routing... tùy phạm vi dự án.</t>
  </si>
  <si>
    <t>Đồng bộ mã thiết bị, ký hiệu, legend, thông số và revision giữa các bản vẽ.</t>
  </si>
  <si>
    <t>Thông tin trên Shop Drawing phù hợp với BOQ, thiết kế và hồ sơ liên quan.</t>
  </si>
  <si>
    <t>Tỷ lệ hồ sơ đầy đủ = Số bộ hồ sơ đáp ứng đầy đủ yêu cầu / Tổng số bộ hồ sơ × 100%.
Kiểm tra bằng checklist trước khi phát hành.</t>
  </si>
  <si>
    <t>Bản vẽ phải phản ánh được phương án có thể triển khai thực tế</t>
  </si>
  <si>
    <t>Kiểm tra không gian lắp đặt, kích thước, cao độ, vị trí thiết bị và khả năng tiếp cận bảo trì.</t>
  </si>
  <si>
    <t>Thể hiện đầy đủ tuyến cáp, điểm đấu nối, giá đỡ, phụ kiện và phương án mounting khi cần.</t>
  </si>
  <si>
    <t>Kiểm tra sự phù hợp với hiện trạng và phối hợp với các bộ môn khác.</t>
  </si>
  <si>
    <t>Chủ động phát hiện các điểm bất khả thi hoặc xung đột trước khi đưa ra công trường.</t>
  </si>
  <si>
    <t>Tỷ lệ bản vẽ không phát sinh lỗi thi công = Số bản vẽ không gây lỗi / Tổng số bản vẽ × 100%.</t>
  </si>
  <si>
    <t>Phối hợp với PM, kỹ sư triển khai, giám sát, tư vấn, khách hàng và các bộ môn liên quan.</t>
  </si>
  <si>
    <t>Tiếp nhận và xử lý comment trên bản vẽ.</t>
  </si>
  <si>
    <t>Phản hồi các vấn đề kỹ thuật trong phạm vi công việc.</t>
  </si>
  <si>
    <t>Chủ động hỏi/xác nhận khi thông tin đầu vào chưa đầy đủ.</t>
  </si>
  <si>
    <t>Phát hiện và đề xuất giải pháp đối với các điểm xung đột giữa thiết kế và thực tế.</t>
  </si>
  <si>
    <t>Theo dõi đến khi các comment/yêu cầu được đóng.</t>
  </si>
  <si>
    <t>Tỷ lệ yêu cầu xử lý đúng hạn = Số yêu cầu/comment xử lý đúng hạn / Tổng số yêu cầu × 100%.
Theo dõi thêm số trường hợp chậm do không phản hồi hoặc không chủ động phối hợp.</t>
  </si>
  <si>
    <t>Tuân thủ quy định đặt tên, mã số và cấu trúc hồ sơ.</t>
  </si>
  <si>
    <t>Quản lý đúng revision, ngày phát hành và lịch sử thay đổi.</t>
  </si>
  <si>
    <t>Cập nhật bản vẽ theo các thay đổi đã được phê duyệt.</t>
  </si>
  <si>
    <t>Đảm bảo đội thi công sử dụng đúng revision mới nhất.</t>
  </si>
  <si>
    <t>Lưu trữ bản vẽ và file nguồn đầy đủ, dễ truy xuất.</t>
  </si>
  <si>
    <t>Không phát hành nhầm bản vẽ cũ hoặc bản vẽ chưa được kiểm tra/phê duyệt.</t>
  </si>
  <si>
    <t>Tỷ lệ hồ sơ quản lý đúng quy định = Hồ sơ đạt yêu cầu / Tổng hồ sơ kiểm tra × 100%.
Theo dõi số lỗi liên quan đến tên file, revision, phát hành nhầm bản vẽ hoặc thiếu file nguồn.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</si>
</sst>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charset val="1"/>
    </font>
    <font>
      <b/>
      <sz val="14"/>
      <color rgb="FF1F3864"/>
      <name val="Arial"/>
      <family val="2"/>
    </font>
    <font>
      <sz val="12"/>
      <color theme="1"/>
      <name val="Calibri"/>
      <family val="2"/>
      <charset val="1"/>
    </font>
    <font>
      <i/>
      <sz val="14"/>
      <color rgb="FF1F3864"/>
      <name val="Arial"/>
      <family val="2"/>
    </font>
    <font>
      <i/>
      <sz val="12"/>
      <color rgb="FF1F3864"/>
      <name val="Arial"/>
      <family val="2"/>
    </font>
    <font>
      <b/>
      <sz val="16"/>
      <color rgb="FF1F3864"/>
      <name val="Arial"/>
      <family val="2"/>
    </font>
    <font>
      <sz val="16"/>
      <color rgb="FF1F3864"/>
      <name val="Arial"/>
      <family val="2"/>
    </font>
    <font>
      <b/>
      <sz val="12"/>
      <color rgb="FF1F3864"/>
      <name val="Arial"/>
      <family val="2"/>
    </font>
    <font>
      <sz val="12"/>
      <color rgb="FF1F3864"/>
      <name val="Arial"/>
      <family val="2"/>
    </font>
    <font>
      <b/>
      <sz val="12"/>
      <color rgb="FFFFFFFF"/>
      <name val="Arial"/>
      <family val="2"/>
    </font>
    <font>
      <sz val="12"/>
      <color rgb="FF000000"/>
      <name val="Arial"/>
      <family val="2"/>
    </font>
    <font>
      <sz val="12"/>
      <name val="Cambria"/>
      <family val="1"/>
    </font>
    <font>
      <sz val="11"/>
      <color theme="1"/>
      <name val="Calibri"/>
      <family val="2"/>
      <charset val="1"/>
    </font>
    <font>
      <b/>
      <sz val="11"/>
      <color theme="1"/>
      <name val="Calibri"/>
      <family val="2"/>
    </font>
  </fonts>
  <fills count="8">
    <fill>
      <patternFill patternType="none"/>
    </fill>
    <fill>
      <patternFill patternType="gray125"/>
    </fill>
    <fill>
      <patternFill patternType="solid">
        <fgColor rgb="FFFFFFFF"/>
        <bgColor rgb="FFF7F9FC"/>
      </patternFill>
    </fill>
    <fill>
      <patternFill patternType="solid">
        <fgColor rgb="FF1F3864"/>
        <bgColor rgb="FF333333"/>
      </patternFill>
    </fill>
    <fill>
      <patternFill patternType="solid">
        <fgColor rgb="FF2E4C87"/>
        <bgColor rgb="FF1F3864"/>
      </patternFill>
    </fill>
    <fill>
      <patternFill patternType="solid">
        <fgColor rgb="FFD9E2F3"/>
        <bgColor rgb="FFC9D7EF"/>
      </patternFill>
    </fill>
    <fill>
      <patternFill patternType="solid">
        <fgColor rgb="FFF7F9FC"/>
        <bgColor rgb="FFFFFFFF"/>
      </patternFill>
    </fill>
    <fill>
      <patternFill patternType="solid">
        <fgColor rgb="FFC9D7EF"/>
        <bgColor rgb="FFD9E2F3"/>
      </patternFill>
    </fill>
  </fills>
  <borders count="11">
    <border>
      <left/>
      <right/>
      <top/>
      <bottom/>
      <diagonal/>
    </border>
    <border>
      <left/>
      <right/>
      <top/>
      <bottom style="thin">
        <color rgb="FF1F3864"/>
      </bottom>
      <diagonal/>
    </border>
    <border>
      <left style="thin">
        <color rgb="FF9DB2D8"/>
      </left>
      <right style="thin">
        <color rgb="FF9DB2D8"/>
      </right>
      <top style="medium">
        <color rgb="FF1F3864"/>
      </top>
      <bottom style="medium">
        <color rgb="FF1F3864"/>
      </bottom>
      <diagonal/>
    </border>
    <border>
      <left/>
      <right/>
      <top style="medium">
        <color rgb="FF1F3864"/>
      </top>
      <bottom style="medium">
        <color rgb="FF1F3864"/>
      </bottom>
      <diagonal/>
    </border>
    <border>
      <left/>
      <right style="thin">
        <color rgb="FF9DB2D8"/>
      </right>
      <top style="medium">
        <color rgb="FF1F3864"/>
      </top>
      <bottom style="medium">
        <color rgb="FF1F3864"/>
      </bottom>
      <diagonal/>
    </border>
    <border>
      <left style="thin">
        <color rgb="FF9DB2D8"/>
      </left>
      <right style="thin">
        <color rgb="FF9DB2D8"/>
      </right>
      <top/>
      <bottom style="medium">
        <color rgb="FF1F3864"/>
      </bottom>
      <diagonal/>
    </border>
    <border>
      <left style="thin">
        <color rgb="FF9DB2D8"/>
      </left>
      <right style="thin">
        <color rgb="FF9DB2D8"/>
      </right>
      <top style="thin">
        <color rgb="FF9DB2D8"/>
      </top>
      <bottom style="thin">
        <color rgb="FF9DB2D8"/>
      </bottom>
      <diagonal/>
    </border>
    <border>
      <left style="thin">
        <color rgb="FF9DB2D8"/>
      </left>
      <right style="thin">
        <color rgb="FF9DB2D8"/>
      </right>
      <top style="medium">
        <color rgb="FF1F3864"/>
      </top>
      <bottom/>
      <diagonal/>
    </border>
    <border>
      <left/>
      <right style="thin">
        <color rgb="FF9DB2D8"/>
      </right>
      <top style="medium">
        <color rgb="FF1F3864"/>
      </top>
      <bottom/>
      <diagonal/>
    </border>
    <border>
      <left/>
      <right/>
      <top style="medium">
        <color rgb="FF1F3864"/>
      </top>
      <bottom/>
      <diagonal/>
    </border>
    <border>
      <left/>
      <right/>
      <top style="thin">
        <color indexed="64"/>
      </top>
      <bottom/>
      <diagonal/>
    </border>
  </borders>
  <cellStyleXfs count="2">
    <xf numFmtId="0" fontId="0" fillId="0" borderId="0"/>
    <xf numFmtId="9" fontId="12" fillId="0" borderId="0" applyFont="0" applyFill="0" applyBorder="0" applyAlignment="0" applyProtection="0"/>
  </cellStyleXfs>
  <cellXfs count="72">
    <xf numFmtId="0" fontId="0" fillId="0" borderId="0" xfId="0"/>
    <xf numFmtId="0" fontId="2" fillId="0" borderId="0" xfId="0" applyFont="1"/>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wrapText="1"/>
    </xf>
    <xf numFmtId="0" fontId="7" fillId="0" borderId="0" xfId="0" applyFont="1" applyAlignment="1">
      <alignment horizontal="left" vertical="center"/>
    </xf>
    <xf numFmtId="0" fontId="8" fillId="2" borderId="0" xfId="0" applyFont="1" applyFill="1" applyAlignment="1">
      <alignment horizontal="left" vertical="center"/>
    </xf>
    <xf numFmtId="0" fontId="9" fillId="3" borderId="2"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6" xfId="0" applyFont="1" applyFill="1" applyBorder="1" applyAlignment="1">
      <alignment horizontal="left" vertical="center" wrapText="1"/>
    </xf>
    <xf numFmtId="0" fontId="8" fillId="2" borderId="6" xfId="0" applyFont="1" applyFill="1" applyBorder="1" applyAlignment="1">
      <alignment horizontal="left" vertical="center" wrapText="1"/>
    </xf>
    <xf numFmtId="9" fontId="8" fillId="2" borderId="6" xfId="0" applyNumberFormat="1" applyFont="1" applyFill="1" applyBorder="1" applyAlignment="1">
      <alignment horizontal="center" vertical="center" wrapText="1"/>
    </xf>
    <xf numFmtId="164" fontId="8" fillId="2" borderId="6" xfId="0" applyNumberFormat="1" applyFont="1" applyFill="1" applyBorder="1" applyAlignment="1">
      <alignment horizontal="center" vertical="center" wrapText="1"/>
    </xf>
    <xf numFmtId="9" fontId="10" fillId="2" borderId="6" xfId="0" applyNumberFormat="1" applyFont="1" applyFill="1" applyBorder="1" applyAlignment="1">
      <alignment horizontal="center" vertical="center" wrapText="1"/>
    </xf>
    <xf numFmtId="165" fontId="10" fillId="2" borderId="6" xfId="0" applyNumberFormat="1" applyFont="1" applyFill="1" applyBorder="1" applyAlignment="1">
      <alignment horizontal="center" vertical="center" wrapText="1"/>
    </xf>
    <xf numFmtId="164" fontId="8" fillId="5" borderId="6" xfId="0" applyNumberFormat="1" applyFont="1" applyFill="1" applyBorder="1" applyAlignment="1">
      <alignment horizontal="center" vertical="center" wrapText="1"/>
    </xf>
    <xf numFmtId="9" fontId="10" fillId="5" borderId="6" xfId="0" applyNumberFormat="1" applyFont="1" applyFill="1" applyBorder="1" applyAlignment="1">
      <alignment horizontal="center" vertical="center" wrapText="1"/>
    </xf>
    <xf numFmtId="165" fontId="10" fillId="5" borderId="6" xfId="0" applyNumberFormat="1" applyFont="1" applyFill="1" applyBorder="1" applyAlignment="1">
      <alignment horizontal="center" vertical="center" wrapText="1"/>
    </xf>
    <xf numFmtId="0" fontId="10" fillId="6" borderId="6" xfId="0" applyFont="1" applyFill="1" applyBorder="1" applyAlignment="1">
      <alignment horizontal="center" vertical="center" wrapText="1"/>
    </xf>
    <xf numFmtId="0" fontId="10" fillId="6" borderId="6" xfId="0" applyFont="1" applyFill="1" applyBorder="1" applyAlignment="1">
      <alignment horizontal="left" vertical="center" wrapText="1"/>
    </xf>
    <xf numFmtId="0" fontId="8" fillId="6" borderId="6" xfId="0" applyFont="1" applyFill="1" applyBorder="1" applyAlignment="1">
      <alignment horizontal="left" vertical="center" wrapText="1"/>
    </xf>
    <xf numFmtId="9" fontId="8" fillId="6" borderId="6" xfId="0" applyNumberFormat="1" applyFont="1" applyFill="1" applyBorder="1" applyAlignment="1">
      <alignment horizontal="center" vertical="center" wrapText="1"/>
    </xf>
    <xf numFmtId="164" fontId="8" fillId="6" borderId="6" xfId="0" applyNumberFormat="1" applyFont="1" applyFill="1" applyBorder="1" applyAlignment="1">
      <alignment horizontal="center" vertical="center" wrapText="1"/>
    </xf>
    <xf numFmtId="9" fontId="10" fillId="6" borderId="6" xfId="0" applyNumberFormat="1" applyFont="1" applyFill="1" applyBorder="1" applyAlignment="1">
      <alignment horizontal="center" vertical="center" wrapText="1"/>
    </xf>
    <xf numFmtId="165" fontId="10" fillId="6" borderId="6" xfId="0" applyNumberFormat="1" applyFont="1" applyFill="1" applyBorder="1" applyAlignment="1">
      <alignment horizontal="center" vertical="center" wrapText="1"/>
    </xf>
    <xf numFmtId="164" fontId="8" fillId="7" borderId="6" xfId="0" applyNumberFormat="1" applyFont="1" applyFill="1" applyBorder="1" applyAlignment="1">
      <alignment horizontal="center" vertical="center" wrapText="1"/>
    </xf>
    <xf numFmtId="9" fontId="10" fillId="7" borderId="6" xfId="0" applyNumberFormat="1" applyFont="1" applyFill="1" applyBorder="1" applyAlignment="1">
      <alignment horizontal="center" vertical="center" wrapText="1"/>
    </xf>
    <xf numFmtId="165" fontId="10" fillId="7" borderId="6" xfId="0" applyNumberFormat="1" applyFont="1" applyFill="1" applyBorder="1" applyAlignment="1">
      <alignment horizontal="center" vertical="center" wrapText="1"/>
    </xf>
    <xf numFmtId="9" fontId="7" fillId="5" borderId="2" xfId="0" applyNumberFormat="1" applyFont="1" applyFill="1" applyBorder="1" applyAlignment="1">
      <alignment horizontal="center" vertical="center" wrapText="1"/>
    </xf>
    <xf numFmtId="0" fontId="7" fillId="5" borderId="2" xfId="0" applyFont="1" applyFill="1" applyBorder="1" applyAlignment="1">
      <alignment horizontal="center" vertical="center" wrapText="1"/>
    </xf>
    <xf numFmtId="165" fontId="7" fillId="5" borderId="2" xfId="0" applyNumberFormat="1" applyFont="1" applyFill="1" applyBorder="1" applyAlignment="1">
      <alignment horizontal="center" vertical="center" wrapText="1"/>
    </xf>
    <xf numFmtId="165" fontId="7" fillId="2" borderId="2" xfId="0" applyNumberFormat="1" applyFont="1" applyFill="1" applyBorder="1" applyAlignment="1">
      <alignment horizontal="center" vertical="center" wrapText="1"/>
    </xf>
    <xf numFmtId="0" fontId="11" fillId="0" borderId="0" xfId="0" applyFont="1"/>
    <xf numFmtId="0" fontId="0" fillId="0" borderId="0" xfId="0" applyAlignment="1">
      <alignment wrapText="1"/>
    </xf>
    <xf numFmtId="0" fontId="7" fillId="5" borderId="7" xfId="0" applyFont="1" applyFill="1" applyBorder="1" applyAlignment="1">
      <alignment horizontal="center" vertical="center" wrapText="1"/>
    </xf>
    <xf numFmtId="0" fontId="0" fillId="0" borderId="8" xfId="0" applyBorder="1"/>
    <xf numFmtId="0" fontId="0" fillId="0" borderId="9" xfId="0" applyBorder="1"/>
    <xf numFmtId="0" fontId="4" fillId="0" borderId="0" xfId="0" applyFont="1" applyAlignment="1">
      <alignment horizontal="center" vertical="center"/>
    </xf>
    <xf numFmtId="0" fontId="2" fillId="0" borderId="0" xfId="0" applyFont="1"/>
    <xf numFmtId="0" fontId="7" fillId="0" borderId="10" xfId="0" applyFont="1" applyBorder="1" applyAlignment="1">
      <alignment horizontal="center" vertical="center" wrapText="1"/>
    </xf>
    <xf numFmtId="0" fontId="0" fillId="0" borderId="10" xfId="0" applyBorder="1"/>
    <xf numFmtId="0" fontId="11" fillId="0" borderId="0" xfId="0" applyFont="1"/>
    <xf numFmtId="0" fontId="7" fillId="5" borderId="2" xfId="0" applyFont="1" applyFill="1" applyBorder="1" applyAlignment="1">
      <alignment horizontal="center" vertical="center" wrapText="1"/>
    </xf>
    <xf numFmtId="0" fontId="0" fillId="0" borderId="4" xfId="0" applyBorder="1"/>
    <xf numFmtId="0" fontId="7" fillId="5" borderId="2" xfId="0" applyFont="1" applyFill="1" applyBorder="1" applyAlignment="1">
      <alignment horizontal="left" vertical="center"/>
    </xf>
    <xf numFmtId="0" fontId="0" fillId="0" borderId="3" xfId="0" applyBorder="1"/>
    <xf numFmtId="0" fontId="8" fillId="0" borderId="0" xfId="0" applyFont="1" applyAlignment="1">
      <alignment horizontal="left" vertical="center" wrapText="1"/>
    </xf>
    <xf numFmtId="0" fontId="4" fillId="0" borderId="0" xfId="0" applyFont="1" applyAlignment="1">
      <alignment horizontal="left" vertical="center" wrapText="1"/>
    </xf>
    <xf numFmtId="0" fontId="9" fillId="3" borderId="2" xfId="0" applyFont="1" applyFill="1" applyBorder="1" applyAlignment="1">
      <alignment horizontal="left" vertical="center" wrapText="1"/>
    </xf>
    <xf numFmtId="0" fontId="9" fillId="3" borderId="2" xfId="0" applyFont="1" applyFill="1" applyBorder="1" applyAlignment="1">
      <alignment horizontal="right" vertical="center" wrapText="1"/>
    </xf>
    <xf numFmtId="0" fontId="9" fillId="3" borderId="0" xfId="0" applyFont="1" applyFill="1" applyAlignment="1">
      <alignment horizontal="left" vertical="center"/>
    </xf>
    <xf numFmtId="0" fontId="9" fillId="3" borderId="2" xfId="0" applyFont="1" applyFill="1" applyBorder="1" applyAlignment="1">
      <alignment horizontal="center" vertical="center" wrapText="1"/>
    </xf>
    <xf numFmtId="0" fontId="0" fillId="0" borderId="5" xfId="0" applyBorder="1"/>
    <xf numFmtId="0" fontId="9" fillId="4" borderId="2" xfId="0" applyFont="1" applyFill="1" applyBorder="1" applyAlignment="1">
      <alignment horizontal="center" vertical="center" wrapText="1"/>
    </xf>
    <xf numFmtId="0" fontId="7" fillId="5" borderId="2" xfId="0" applyFont="1" applyFill="1" applyBorder="1" applyAlignment="1">
      <alignment horizontal="right" vertical="center"/>
    </xf>
    <xf numFmtId="0" fontId="7" fillId="0" borderId="0" xfId="0" applyFont="1" applyAlignment="1">
      <alignment horizontal="left" vertical="center"/>
    </xf>
    <xf numFmtId="0" fontId="8" fillId="2" borderId="1" xfId="0" applyFont="1" applyFill="1" applyBorder="1" applyAlignment="1">
      <alignment horizontal="left" vertical="center"/>
    </xf>
    <xf numFmtId="0" fontId="0" fillId="0" borderId="1" xfId="0" applyBorder="1"/>
    <xf numFmtId="0" fontId="7" fillId="0" borderId="0" xfId="0" applyFont="1" applyAlignment="1">
      <alignment horizontal="left" vertical="center" wrapText="1"/>
    </xf>
    <xf numFmtId="0" fontId="2" fillId="0" borderId="0" xfId="0" applyFont="1" applyAlignment="1">
      <alignment wrapText="1"/>
    </xf>
    <xf numFmtId="0" fontId="6" fillId="0" borderId="0" xfId="0" applyFont="1" applyAlignment="1">
      <alignment horizont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wrapText="1"/>
    </xf>
    <xf numFmtId="0" fontId="0" fillId="0" borderId="0" xfId="0" applyAlignment="1">
      <alignment vertical="center"/>
    </xf>
    <xf numFmtId="0" fontId="0" fillId="0" borderId="0" xfId="0" applyAlignment="1">
      <alignment horizontal="center" vertical="center"/>
    </xf>
    <xf numFmtId="0" fontId="13" fillId="0" borderId="0" xfId="0" applyFont="1" applyAlignment="1">
      <alignment vertical="center"/>
    </xf>
    <xf numFmtId="0" fontId="0" fillId="0" borderId="0" xfId="0" quotePrefix="1" applyAlignment="1">
      <alignment vertical="center" wrapText="1"/>
    </xf>
    <xf numFmtId="0" fontId="0" fillId="0" borderId="0" xfId="0" applyAlignment="1">
      <alignment vertical="center" wrapText="1"/>
    </xf>
    <xf numFmtId="9" fontId="0" fillId="0" borderId="0" xfId="0" applyNumberFormat="1" applyAlignment="1">
      <alignment vertical="center"/>
    </xf>
    <xf numFmtId="9" fontId="0" fillId="0" borderId="0" xfId="1" applyFont="1" applyAlignment="1">
      <alignment vertical="center"/>
    </xf>
    <xf numFmtId="9" fontId="0" fillId="0" borderId="0" xfId="0" applyNumberFormat="1" applyAlignment="1">
      <alignment horizontal="lef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F9FE9-0675-7843-855E-0EC5FAF9D5CB}">
  <sheetPr>
    <pageSetUpPr fitToPage="1"/>
  </sheetPr>
  <dimension ref="A1:L35"/>
  <sheetViews>
    <sheetView showGridLines="0" tabSelected="1" topLeftCell="A20" zoomScale="82" zoomScaleNormal="100" workbookViewId="0">
      <selection activeCell="F20" sqref="F20"/>
    </sheetView>
  </sheetViews>
  <sheetFormatPr defaultColWidth="8.6640625" defaultRowHeight="15.6" x14ac:dyDescent="0.3"/>
  <cols>
    <col min="1" max="1" width="3.33203125" style="1" customWidth="1"/>
    <col min="2" max="2" width="37.6640625" style="1" customWidth="1"/>
    <col min="3" max="3" width="30" style="1" customWidth="1"/>
    <col min="4" max="5" width="7.6640625" style="1" customWidth="1"/>
    <col min="6" max="6" width="16.77734375" style="1" customWidth="1"/>
    <col min="7" max="7" width="13.44140625" style="1" customWidth="1"/>
    <col min="8" max="8" width="11.6640625" style="1" customWidth="1"/>
    <col min="9" max="10" width="7.6640625" style="1" customWidth="1"/>
    <col min="11" max="11" width="11.109375" style="1" customWidth="1"/>
    <col min="12" max="12" width="19" style="1" customWidth="1"/>
    <col min="13" max="13" width="8.6640625" style="1" customWidth="1"/>
    <col min="14" max="16384" width="8.6640625" style="1"/>
  </cols>
  <sheetData>
    <row r="1" spans="1:12" ht="18" customHeight="1" x14ac:dyDescent="0.3">
      <c r="A1" s="61" t="s">
        <v>0</v>
      </c>
      <c r="B1" s="38"/>
      <c r="C1" s="38"/>
      <c r="D1" s="38"/>
      <c r="E1" s="38"/>
      <c r="F1" s="38"/>
      <c r="G1" s="61" t="s">
        <v>1</v>
      </c>
      <c r="H1" s="38"/>
      <c r="I1" s="38"/>
      <c r="J1" s="38"/>
      <c r="K1" s="38"/>
      <c r="L1" s="38"/>
    </row>
    <row r="2" spans="1:12" ht="18" customHeight="1" x14ac:dyDescent="0.3">
      <c r="A2" s="62" t="s">
        <v>2</v>
      </c>
      <c r="B2" s="38"/>
      <c r="C2" s="38"/>
      <c r="D2" s="38"/>
      <c r="E2" s="38"/>
      <c r="F2" s="38"/>
      <c r="G2" s="62" t="s">
        <v>3</v>
      </c>
      <c r="H2" s="38"/>
      <c r="I2" s="38"/>
      <c r="J2" s="38"/>
      <c r="K2" s="38"/>
      <c r="L2" s="38"/>
    </row>
    <row r="3" spans="1:12" x14ac:dyDescent="0.3">
      <c r="A3" s="2"/>
      <c r="B3" s="2"/>
      <c r="C3" s="2"/>
      <c r="D3" s="2"/>
      <c r="E3" s="2"/>
      <c r="F3" s="2"/>
      <c r="G3" s="3"/>
      <c r="H3" s="3"/>
      <c r="I3" s="3"/>
      <c r="J3" s="3"/>
      <c r="K3" s="3"/>
      <c r="L3" s="3"/>
    </row>
    <row r="4" spans="1:12" ht="19.5" customHeight="1" x14ac:dyDescent="0.4">
      <c r="A4" s="63" t="s">
        <v>4</v>
      </c>
      <c r="B4" s="38"/>
      <c r="C4" s="38"/>
      <c r="D4" s="38"/>
      <c r="E4" s="38"/>
      <c r="F4" s="38"/>
      <c r="G4" s="38"/>
      <c r="H4" s="38"/>
      <c r="I4" s="38"/>
      <c r="J4" s="38"/>
      <c r="K4" s="38"/>
      <c r="L4" s="38"/>
    </row>
    <row r="5" spans="1:12" ht="19.5" customHeight="1" x14ac:dyDescent="0.35">
      <c r="A5" s="60" t="s">
        <v>5</v>
      </c>
      <c r="B5" s="38"/>
      <c r="C5" s="38"/>
      <c r="D5" s="38"/>
      <c r="E5" s="38"/>
      <c r="F5" s="38"/>
      <c r="G5" s="38"/>
      <c r="H5" s="38"/>
      <c r="I5" s="38"/>
      <c r="J5" s="38"/>
      <c r="K5" s="38"/>
      <c r="L5" s="38"/>
    </row>
    <row r="6" spans="1:12" ht="13.05" customHeight="1" x14ac:dyDescent="0.4">
      <c r="A6" s="4"/>
      <c r="B6" s="4"/>
      <c r="C6" s="4"/>
      <c r="D6" s="4"/>
      <c r="E6" s="4"/>
      <c r="F6" s="4"/>
      <c r="G6" s="4"/>
      <c r="H6" s="4"/>
      <c r="I6" s="4"/>
      <c r="J6" s="4"/>
      <c r="K6" s="4"/>
      <c r="L6" s="4"/>
    </row>
    <row r="7" spans="1:12" ht="15" customHeight="1" x14ac:dyDescent="0.3">
      <c r="A7" s="55" t="s">
        <v>6</v>
      </c>
      <c r="B7" s="38"/>
      <c r="C7" s="56"/>
      <c r="D7" s="57"/>
      <c r="E7" s="57"/>
      <c r="F7" s="55" t="s">
        <v>7</v>
      </c>
      <c r="G7" s="38"/>
      <c r="H7" s="56"/>
      <c r="I7" s="57"/>
      <c r="J7" s="57"/>
      <c r="K7" s="57"/>
      <c r="L7" s="57"/>
    </row>
    <row r="8" spans="1:12" ht="15.6" customHeight="1" x14ac:dyDescent="0.3">
      <c r="A8" s="55" t="s">
        <v>8</v>
      </c>
      <c r="B8" s="38"/>
      <c r="C8" s="56"/>
      <c r="D8" s="57"/>
      <c r="E8" s="57"/>
      <c r="F8" s="58" t="s">
        <v>9</v>
      </c>
      <c r="G8" s="59"/>
      <c r="H8" s="56"/>
      <c r="I8" s="57"/>
      <c r="J8" s="57"/>
      <c r="K8" s="57"/>
      <c r="L8" s="57"/>
    </row>
    <row r="9" spans="1:12" ht="33" customHeight="1" x14ac:dyDescent="0.3">
      <c r="A9" s="55" t="s">
        <v>10</v>
      </c>
      <c r="B9" s="38"/>
      <c r="C9" s="56" t="s">
        <v>11</v>
      </c>
      <c r="D9" s="57"/>
      <c r="E9" s="57"/>
      <c r="F9" s="58" t="s">
        <v>12</v>
      </c>
      <c r="G9" s="59"/>
      <c r="H9" s="56"/>
      <c r="I9" s="57"/>
      <c r="J9" s="57"/>
      <c r="K9" s="57"/>
      <c r="L9" s="57"/>
    </row>
    <row r="10" spans="1:12" ht="15" customHeight="1" x14ac:dyDescent="0.3">
      <c r="A10" s="55" t="s">
        <v>13</v>
      </c>
      <c r="B10" s="38"/>
      <c r="C10" s="56" t="s">
        <v>46</v>
      </c>
      <c r="D10" s="57"/>
      <c r="E10" s="57"/>
      <c r="F10" s="55" t="s">
        <v>14</v>
      </c>
      <c r="G10" s="38"/>
      <c r="H10" s="56"/>
      <c r="I10" s="57"/>
      <c r="J10" s="57"/>
      <c r="K10" s="57"/>
      <c r="L10" s="57"/>
    </row>
    <row r="11" spans="1:12" ht="15" customHeight="1" x14ac:dyDescent="0.3">
      <c r="A11" s="5"/>
      <c r="B11" s="5"/>
      <c r="C11" s="6"/>
      <c r="D11" s="6"/>
      <c r="E11" s="6"/>
      <c r="F11" s="5"/>
      <c r="G11" s="5"/>
      <c r="H11" s="6"/>
      <c r="I11" s="6"/>
      <c r="J11" s="6"/>
      <c r="K11" s="6"/>
      <c r="L11" s="6"/>
    </row>
    <row r="12" spans="1:12" ht="31.95" customHeight="1" thickBot="1" x14ac:dyDescent="0.35">
      <c r="A12" s="50" t="s">
        <v>15</v>
      </c>
      <c r="B12" s="38"/>
      <c r="C12" s="38"/>
      <c r="D12" s="38"/>
      <c r="E12" s="38"/>
      <c r="F12" s="38"/>
      <c r="G12" s="38"/>
      <c r="H12" s="38"/>
      <c r="I12" s="38"/>
      <c r="J12" s="38"/>
      <c r="K12" s="38"/>
      <c r="L12" s="38"/>
    </row>
    <row r="13" spans="1:12" ht="31.95" customHeight="1" thickBot="1" x14ac:dyDescent="0.35">
      <c r="A13" s="51" t="s">
        <v>16</v>
      </c>
      <c r="B13" s="51" t="s">
        <v>17</v>
      </c>
      <c r="C13" s="51" t="s">
        <v>18</v>
      </c>
      <c r="D13" s="51" t="s">
        <v>19</v>
      </c>
      <c r="E13" s="51" t="s">
        <v>20</v>
      </c>
      <c r="F13" s="53" t="s">
        <v>21</v>
      </c>
      <c r="G13" s="45"/>
      <c r="H13" s="43"/>
      <c r="I13" s="53" t="s">
        <v>22</v>
      </c>
      <c r="J13" s="45"/>
      <c r="K13" s="43"/>
      <c r="L13" s="51" t="s">
        <v>23</v>
      </c>
    </row>
    <row r="14" spans="1:12" ht="85.2" customHeight="1" thickBot="1" x14ac:dyDescent="0.35">
      <c r="A14" s="52"/>
      <c r="B14" s="52"/>
      <c r="C14" s="52"/>
      <c r="D14" s="52"/>
      <c r="E14" s="52"/>
      <c r="F14" s="7" t="s">
        <v>24</v>
      </c>
      <c r="G14" s="7" t="s">
        <v>25</v>
      </c>
      <c r="H14" s="7" t="s">
        <v>26</v>
      </c>
      <c r="I14" s="7" t="s">
        <v>24</v>
      </c>
      <c r="J14" s="7" t="s">
        <v>25</v>
      </c>
      <c r="K14" s="7" t="s">
        <v>26</v>
      </c>
      <c r="L14" s="52"/>
    </row>
    <row r="15" spans="1:12" ht="90" x14ac:dyDescent="0.3">
      <c r="A15" s="8">
        <v>1</v>
      </c>
      <c r="B15" s="9" t="s">
        <v>57</v>
      </c>
      <c r="C15" s="10" t="s">
        <v>58</v>
      </c>
      <c r="D15" s="11">
        <v>0.15</v>
      </c>
      <c r="E15" s="12">
        <v>10</v>
      </c>
      <c r="F15" s="12">
        <f>Sheet1!G2</f>
        <v>10</v>
      </c>
      <c r="G15" s="13">
        <f t="shared" ref="G15:G20" si="0">IFERROR(F15/E15,0)</f>
        <v>1</v>
      </c>
      <c r="H15" s="14">
        <f t="shared" ref="H15:H20" si="1">G15*D15</f>
        <v>0.15</v>
      </c>
      <c r="I15" s="15">
        <f>Sheet1!I2</f>
        <v>10</v>
      </c>
      <c r="J15" s="16">
        <f t="shared" ref="J15:J20" si="2">IFERROR(I15/E15,0)</f>
        <v>1</v>
      </c>
      <c r="K15" s="17">
        <f t="shared" ref="K15:K20" si="3">J15*D15</f>
        <v>0.15</v>
      </c>
      <c r="L15" s="10"/>
    </row>
    <row r="16" spans="1:12" ht="90" x14ac:dyDescent="0.3">
      <c r="A16" s="18">
        <v>2</v>
      </c>
      <c r="B16" s="19" t="s">
        <v>59</v>
      </c>
      <c r="C16" s="20" t="s">
        <v>60</v>
      </c>
      <c r="D16" s="21">
        <v>0.15</v>
      </c>
      <c r="E16" s="22">
        <v>10</v>
      </c>
      <c r="F16" s="22">
        <f>Sheet1!G10</f>
        <v>10</v>
      </c>
      <c r="G16" s="23">
        <f t="shared" si="0"/>
        <v>1</v>
      </c>
      <c r="H16" s="24">
        <f t="shared" si="1"/>
        <v>0.15</v>
      </c>
      <c r="I16" s="25">
        <f>Sheet1!I10</f>
        <v>10</v>
      </c>
      <c r="J16" s="26">
        <f t="shared" si="2"/>
        <v>1</v>
      </c>
      <c r="K16" s="27">
        <f t="shared" si="3"/>
        <v>0.15</v>
      </c>
      <c r="L16" s="20"/>
    </row>
    <row r="17" spans="1:12" ht="96.6" customHeight="1" x14ac:dyDescent="0.3">
      <c r="A17" s="8">
        <v>3</v>
      </c>
      <c r="B17" s="9" t="s">
        <v>61</v>
      </c>
      <c r="C17" s="10" t="s">
        <v>62</v>
      </c>
      <c r="D17" s="11">
        <v>0.1</v>
      </c>
      <c r="E17" s="12">
        <v>10</v>
      </c>
      <c r="F17" s="12">
        <f>Sheet1!G18</f>
        <v>10</v>
      </c>
      <c r="G17" s="13">
        <f t="shared" si="0"/>
        <v>1</v>
      </c>
      <c r="H17" s="14">
        <f t="shared" si="1"/>
        <v>0.1</v>
      </c>
      <c r="I17" s="15">
        <f>Sheet1!I18</f>
        <v>10</v>
      </c>
      <c r="J17" s="16">
        <f t="shared" si="2"/>
        <v>1</v>
      </c>
      <c r="K17" s="17">
        <f t="shared" si="3"/>
        <v>0.1</v>
      </c>
      <c r="L17" s="10"/>
    </row>
    <row r="18" spans="1:12" ht="135" x14ac:dyDescent="0.3">
      <c r="A18" s="18">
        <v>4</v>
      </c>
      <c r="B18" s="9" t="s">
        <v>63</v>
      </c>
      <c r="C18" s="10" t="s">
        <v>64</v>
      </c>
      <c r="D18" s="11">
        <v>0.1</v>
      </c>
      <c r="E18" s="12">
        <v>10</v>
      </c>
      <c r="F18" s="12">
        <f>Sheet1!G25</f>
        <v>10</v>
      </c>
      <c r="G18" s="13">
        <f t="shared" si="0"/>
        <v>1</v>
      </c>
      <c r="H18" s="14">
        <f t="shared" si="1"/>
        <v>0.1</v>
      </c>
      <c r="I18" s="15">
        <f>Sheet1!I25</f>
        <v>10</v>
      </c>
      <c r="J18" s="16">
        <f t="shared" si="2"/>
        <v>1</v>
      </c>
      <c r="K18" s="17">
        <f t="shared" si="3"/>
        <v>0.1</v>
      </c>
      <c r="L18" s="20"/>
    </row>
    <row r="19" spans="1:12" ht="105" x14ac:dyDescent="0.3">
      <c r="A19" s="18">
        <v>5</v>
      </c>
      <c r="B19" s="19" t="s">
        <v>65</v>
      </c>
      <c r="C19" s="20" t="s">
        <v>66</v>
      </c>
      <c r="D19" s="21">
        <v>0.1</v>
      </c>
      <c r="E19" s="12">
        <v>10</v>
      </c>
      <c r="F19" s="12">
        <f>Sheet1!G34</f>
        <v>10</v>
      </c>
      <c r="G19" s="13">
        <f t="shared" si="0"/>
        <v>1</v>
      </c>
      <c r="H19" s="14">
        <f t="shared" si="1"/>
        <v>0.1</v>
      </c>
      <c r="I19" s="15">
        <f>Sheet1!I34</f>
        <v>10</v>
      </c>
      <c r="J19" s="16">
        <f t="shared" si="2"/>
        <v>1</v>
      </c>
      <c r="K19" s="17">
        <f t="shared" si="3"/>
        <v>0.1</v>
      </c>
      <c r="L19" s="20"/>
    </row>
    <row r="20" spans="1:12" ht="105.6" thickBot="1" x14ac:dyDescent="0.35">
      <c r="A20" s="18">
        <v>6</v>
      </c>
      <c r="B20" s="9" t="s">
        <v>67</v>
      </c>
      <c r="C20" s="10" t="s">
        <v>68</v>
      </c>
      <c r="D20" s="11">
        <v>0.1</v>
      </c>
      <c r="E20" s="12">
        <v>10</v>
      </c>
      <c r="F20" s="12">
        <f>Sheet1!G43</f>
        <v>10</v>
      </c>
      <c r="G20" s="13">
        <f t="shared" si="0"/>
        <v>1</v>
      </c>
      <c r="H20" s="14">
        <f t="shared" si="1"/>
        <v>0.1</v>
      </c>
      <c r="I20" s="15">
        <f>Sheet1!I43</f>
        <v>10</v>
      </c>
      <c r="J20" s="16">
        <f t="shared" si="2"/>
        <v>1</v>
      </c>
      <c r="K20" s="17">
        <f t="shared" si="3"/>
        <v>0.1</v>
      </c>
      <c r="L20" s="10"/>
    </row>
    <row r="21" spans="1:12" ht="31.95" customHeight="1" thickBot="1" x14ac:dyDescent="0.35">
      <c r="A21" s="54" t="s">
        <v>27</v>
      </c>
      <c r="B21" s="45"/>
      <c r="C21" s="43"/>
      <c r="D21" s="28">
        <f>SUM(D15:D20)</f>
        <v>0.7</v>
      </c>
      <c r="E21" s="42"/>
      <c r="F21" s="43"/>
      <c r="G21" s="29"/>
      <c r="H21" s="30">
        <f>SUM(H15:H20)</f>
        <v>0.7</v>
      </c>
      <c r="I21" s="29"/>
      <c r="J21" s="29"/>
      <c r="K21" s="30">
        <f>SUM(K15:K20)</f>
        <v>0.7</v>
      </c>
      <c r="L21" s="29"/>
    </row>
    <row r="22" spans="1:12" ht="31.95" customHeight="1" x14ac:dyDescent="0.3">
      <c r="A22" s="50" t="s">
        <v>28</v>
      </c>
      <c r="B22" s="38"/>
      <c r="C22" s="38"/>
      <c r="D22" s="38"/>
      <c r="E22" s="38"/>
      <c r="F22" s="38"/>
      <c r="G22" s="38"/>
      <c r="H22" s="38"/>
      <c r="I22" s="38"/>
      <c r="J22" s="38"/>
      <c r="K22" s="38"/>
      <c r="L22" s="38"/>
    </row>
    <row r="23" spans="1:12" ht="31.95" customHeight="1" x14ac:dyDescent="0.3">
      <c r="A23" s="8">
        <v>1</v>
      </c>
      <c r="B23" s="9" t="s">
        <v>29</v>
      </c>
      <c r="C23" s="10" t="s">
        <v>30</v>
      </c>
      <c r="D23" s="11">
        <v>0.1</v>
      </c>
      <c r="E23" s="12">
        <v>3</v>
      </c>
      <c r="F23" s="12"/>
      <c r="G23" s="13">
        <f>IFERROR(F23/E23,0)</f>
        <v>0</v>
      </c>
      <c r="H23" s="14">
        <f>G23*D23</f>
        <v>0</v>
      </c>
      <c r="I23" s="15"/>
      <c r="J23" s="16">
        <f>IFERROR(I23/E23,0)</f>
        <v>0</v>
      </c>
      <c r="K23" s="17">
        <f>J23*D23</f>
        <v>0</v>
      </c>
      <c r="L23" s="10"/>
    </row>
    <row r="24" spans="1:12" ht="31.95" customHeight="1" x14ac:dyDescent="0.3">
      <c r="A24" s="18">
        <v>2</v>
      </c>
      <c r="B24" s="19" t="s">
        <v>31</v>
      </c>
      <c r="C24" s="20"/>
      <c r="D24" s="21">
        <v>0.1</v>
      </c>
      <c r="E24" s="22">
        <v>3</v>
      </c>
      <c r="F24" s="22"/>
      <c r="G24" s="23">
        <f>IFERROR(F24/E24,0)</f>
        <v>0</v>
      </c>
      <c r="H24" s="24">
        <f>G24*D24</f>
        <v>0</v>
      </c>
      <c r="I24" s="25"/>
      <c r="J24" s="26">
        <f>IFERROR(I24/E24,0)</f>
        <v>0</v>
      </c>
      <c r="K24" s="27">
        <f>J24*D24</f>
        <v>0</v>
      </c>
      <c r="L24" s="20"/>
    </row>
    <row r="25" spans="1:12" ht="31.95" customHeight="1" thickBot="1" x14ac:dyDescent="0.35">
      <c r="A25" s="8">
        <v>3</v>
      </c>
      <c r="B25" s="9" t="s">
        <v>32</v>
      </c>
      <c r="C25" s="10"/>
      <c r="D25" s="11">
        <v>0.1</v>
      </c>
      <c r="E25" s="12">
        <v>3</v>
      </c>
      <c r="F25" s="12"/>
      <c r="G25" s="13">
        <f>IFERROR(F25/E25,0)</f>
        <v>0</v>
      </c>
      <c r="H25" s="14">
        <f>G25*D25</f>
        <v>0</v>
      </c>
      <c r="I25" s="15"/>
      <c r="J25" s="16">
        <f>IFERROR(I25/E25,0)</f>
        <v>0</v>
      </c>
      <c r="K25" s="17">
        <f>J25*D25</f>
        <v>0</v>
      </c>
      <c r="L25" s="10"/>
    </row>
    <row r="26" spans="1:12" ht="31.95" customHeight="1" thickBot="1" x14ac:dyDescent="0.35">
      <c r="A26" s="54" t="s">
        <v>33</v>
      </c>
      <c r="B26" s="45"/>
      <c r="C26" s="43"/>
      <c r="D26" s="28">
        <f>SUM(D23:D25)</f>
        <v>0.30000000000000004</v>
      </c>
      <c r="E26" s="42"/>
      <c r="F26" s="43"/>
      <c r="G26" s="29"/>
      <c r="H26" s="30">
        <f>SUM(H23:H25)</f>
        <v>0</v>
      </c>
      <c r="I26" s="29"/>
      <c r="J26" s="29"/>
      <c r="K26" s="30">
        <f>SUM(K23:K25)</f>
        <v>0</v>
      </c>
      <c r="L26" s="29"/>
    </row>
    <row r="27" spans="1:12" ht="31.95" customHeight="1" thickBot="1" x14ac:dyDescent="0.35">
      <c r="A27" s="48" t="str">
        <f>"TỔNG ĐIỂM KPI HOÀN THÀNH CÔNG VIỆC (kiểm tra tổng trọng số = "&amp;TEXT(D21+D26,"0%")&amp;")"</f>
        <v>TỔNG ĐIỂM KPI HOÀN THÀNH CÔNG VIỆC (kiểm tra tổng trọng số = 100%)</v>
      </c>
      <c r="B27" s="45"/>
      <c r="C27" s="45"/>
      <c r="D27" s="45"/>
      <c r="E27" s="43"/>
      <c r="F27" s="49" t="s">
        <v>34</v>
      </c>
      <c r="G27" s="43"/>
      <c r="H27" s="31">
        <f>H21+H26</f>
        <v>0.7</v>
      </c>
      <c r="I27" s="49" t="s">
        <v>35</v>
      </c>
      <c r="J27" s="43"/>
      <c r="K27" s="30">
        <f>K21+K26</f>
        <v>0.7</v>
      </c>
      <c r="L27" s="7"/>
    </row>
    <row r="28" spans="1:12" ht="31.95" customHeight="1" thickBot="1" x14ac:dyDescent="0.35">
      <c r="A28" s="44" t="s">
        <v>36</v>
      </c>
      <c r="B28" s="45"/>
      <c r="C28" s="45"/>
      <c r="D28" s="45"/>
      <c r="E28" s="43"/>
      <c r="F28" s="42" t="str">
        <f>IF(K27&gt;1,"VƯỢT CHỈ TIÊU",IF(K27&gt;=0.9,"HOÀN THÀNH",IF(K27&gt;=0.8,"CẦN CẢI THIỆN","CHƯA ĐẠT")))</f>
        <v>CHƯA ĐẠT</v>
      </c>
      <c r="G28" s="45"/>
      <c r="H28" s="45"/>
      <c r="I28" s="45"/>
      <c r="J28" s="45"/>
      <c r="K28" s="45"/>
      <c r="L28" s="43"/>
    </row>
    <row r="29" spans="1:12" ht="31.95" customHeight="1" x14ac:dyDescent="0.3">
      <c r="A29" s="46" t="s">
        <v>37</v>
      </c>
      <c r="B29" s="38"/>
      <c r="C29" s="38"/>
      <c r="D29" s="38"/>
      <c r="E29" s="38"/>
      <c r="F29" s="38"/>
      <c r="G29" s="38"/>
      <c r="H29" s="38"/>
      <c r="I29" s="38"/>
      <c r="J29" s="38"/>
      <c r="K29" s="38"/>
      <c r="L29" s="38"/>
    </row>
    <row r="30" spans="1:12" ht="31.95" customHeight="1" thickBot="1" x14ac:dyDescent="0.35">
      <c r="A30" s="47" t="s">
        <v>38</v>
      </c>
      <c r="B30" s="38"/>
      <c r="C30" s="38"/>
      <c r="D30" s="38"/>
      <c r="E30" s="38"/>
      <c r="F30" s="38"/>
      <c r="G30" s="38"/>
      <c r="H30" s="38"/>
      <c r="I30" s="38"/>
      <c r="J30" s="38"/>
      <c r="K30" s="38"/>
      <c r="L30" s="38"/>
    </row>
    <row r="31" spans="1:12" ht="31.95" customHeight="1" x14ac:dyDescent="0.3">
      <c r="A31" s="34" t="s">
        <v>39</v>
      </c>
      <c r="B31" s="35"/>
      <c r="C31" s="34" t="s">
        <v>40</v>
      </c>
      <c r="D31" s="35"/>
      <c r="E31" s="34" t="s">
        <v>41</v>
      </c>
      <c r="F31" s="36"/>
      <c r="G31" s="36"/>
      <c r="H31" s="36"/>
      <c r="I31" s="35"/>
      <c r="J31" s="34" t="s">
        <v>42</v>
      </c>
      <c r="K31" s="36"/>
      <c r="L31" s="35"/>
    </row>
    <row r="32" spans="1:12" ht="31.95" customHeight="1" x14ac:dyDescent="0.3">
      <c r="A32" s="39" t="s">
        <v>43</v>
      </c>
      <c r="B32" s="40"/>
      <c r="C32" s="39" t="s">
        <v>43</v>
      </c>
      <c r="D32" s="40"/>
      <c r="E32" s="39" t="s">
        <v>43</v>
      </c>
      <c r="F32" s="40"/>
      <c r="G32" s="40"/>
      <c r="H32" s="40"/>
      <c r="I32" s="40"/>
      <c r="J32" s="39" t="s">
        <v>44</v>
      </c>
      <c r="K32" s="40"/>
      <c r="L32" s="40"/>
    </row>
    <row r="33" spans="1:12" ht="36" customHeight="1" x14ac:dyDescent="0.3">
      <c r="A33" s="41"/>
      <c r="B33" s="38"/>
      <c r="C33" s="38"/>
      <c r="D33" s="41"/>
      <c r="E33" s="38"/>
      <c r="F33" s="38"/>
      <c r="G33" s="41"/>
      <c r="H33" s="38"/>
      <c r="I33" s="38"/>
      <c r="J33" s="41"/>
      <c r="K33" s="38"/>
      <c r="L33" s="38"/>
    </row>
    <row r="34" spans="1:12" ht="36" customHeight="1" x14ac:dyDescent="0.3">
      <c r="A34" s="32"/>
      <c r="B34" s="32"/>
      <c r="C34" s="32"/>
      <c r="D34" s="32"/>
      <c r="E34" s="32"/>
      <c r="F34" s="32"/>
      <c r="G34" s="32"/>
      <c r="H34" s="32"/>
      <c r="I34" s="32"/>
      <c r="J34" s="32"/>
      <c r="K34" s="32"/>
      <c r="L34" s="32"/>
    </row>
    <row r="35" spans="1:12" ht="12.75" customHeight="1" x14ac:dyDescent="0.3">
      <c r="A35" s="37" t="s">
        <v>45</v>
      </c>
      <c r="B35" s="38"/>
      <c r="C35" s="38"/>
      <c r="D35" s="38"/>
      <c r="E35" s="38"/>
      <c r="F35" s="38"/>
      <c r="G35" s="38"/>
      <c r="H35" s="38"/>
      <c r="I35" s="38"/>
      <c r="J35" s="38"/>
      <c r="K35" s="38"/>
      <c r="L35" s="38"/>
    </row>
  </sheetData>
  <mergeCells count="56">
    <mergeCell ref="A5:L5"/>
    <mergeCell ref="A1:F1"/>
    <mergeCell ref="G1:L1"/>
    <mergeCell ref="A2:F2"/>
    <mergeCell ref="G2:L2"/>
    <mergeCell ref="A4:L4"/>
    <mergeCell ref="A7:B7"/>
    <mergeCell ref="C7:E7"/>
    <mergeCell ref="F7:G7"/>
    <mergeCell ref="H7:L7"/>
    <mergeCell ref="A8:B8"/>
    <mergeCell ref="C8:E8"/>
    <mergeCell ref="F8:G8"/>
    <mergeCell ref="H8:L8"/>
    <mergeCell ref="A21:C21"/>
    <mergeCell ref="E21:F21"/>
    <mergeCell ref="A22:L22"/>
    <mergeCell ref="A26:C26"/>
    <mergeCell ref="A9:B9"/>
    <mergeCell ref="C9:E9"/>
    <mergeCell ref="F9:G9"/>
    <mergeCell ref="H9:L9"/>
    <mergeCell ref="A10:B10"/>
    <mergeCell ref="C10:E10"/>
    <mergeCell ref="F10:G10"/>
    <mergeCell ref="H10:L10"/>
    <mergeCell ref="A12:L12"/>
    <mergeCell ref="A13:A14"/>
    <mergeCell ref="B13:B14"/>
    <mergeCell ref="C13:C14"/>
    <mergeCell ref="D13:D14"/>
    <mergeCell ref="E13:E14"/>
    <mergeCell ref="F13:H13"/>
    <mergeCell ref="I13:K13"/>
    <mergeCell ref="L13:L14"/>
    <mergeCell ref="E26:F26"/>
    <mergeCell ref="A28:E28"/>
    <mergeCell ref="F28:L28"/>
    <mergeCell ref="A29:L29"/>
    <mergeCell ref="A30:L30"/>
    <mergeCell ref="A27:E27"/>
    <mergeCell ref="F27:G27"/>
    <mergeCell ref="I27:J27"/>
    <mergeCell ref="A31:B31"/>
    <mergeCell ref="C31:D31"/>
    <mergeCell ref="E31:I31"/>
    <mergeCell ref="J31:L31"/>
    <mergeCell ref="A35:L35"/>
    <mergeCell ref="A32:B32"/>
    <mergeCell ref="C32:D32"/>
    <mergeCell ref="E32:I32"/>
    <mergeCell ref="J32:L32"/>
    <mergeCell ref="A33:C33"/>
    <mergeCell ref="D33:F33"/>
    <mergeCell ref="G33:I33"/>
    <mergeCell ref="J33:L33"/>
  </mergeCells>
  <pageMargins left="0.25" right="0.25" top="0.3" bottom="0.3" header="0.511811023622047" footer="0.511811023622047"/>
  <pageSetup paperSize="9" scale="57"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BE48F-EAF8-46D8-8032-F622B00D1A1F}">
  <dimension ref="B1:I50"/>
  <sheetViews>
    <sheetView topLeftCell="A49" workbookViewId="0">
      <selection activeCell="G43" sqref="G43"/>
    </sheetView>
  </sheetViews>
  <sheetFormatPr defaultRowHeight="14.4" x14ac:dyDescent="0.3"/>
  <cols>
    <col min="1" max="1" width="8.88671875" style="64"/>
    <col min="2" max="2" width="35" style="64" bestFit="1" customWidth="1"/>
    <col min="3" max="3" width="40" style="64" bestFit="1" customWidth="1"/>
    <col min="4" max="4" width="11.21875" style="64" bestFit="1" customWidth="1"/>
    <col min="5" max="5" width="8.88671875" style="64"/>
    <col min="6" max="6" width="15" style="64" bestFit="1" customWidth="1"/>
    <col min="7" max="7" width="13.33203125" style="64" bestFit="1" customWidth="1"/>
    <col min="8" max="8" width="15" style="64" bestFit="1" customWidth="1"/>
    <col min="9" max="9" width="13.33203125" style="64" bestFit="1" customWidth="1"/>
    <col min="10" max="16384" width="8.88671875" style="64"/>
  </cols>
  <sheetData>
    <row r="1" spans="2:9" x14ac:dyDescent="0.3">
      <c r="F1" s="65" t="s">
        <v>55</v>
      </c>
      <c r="G1" s="65"/>
      <c r="H1" s="65" t="s">
        <v>56</v>
      </c>
      <c r="I1" s="65"/>
    </row>
    <row r="2" spans="2:9" x14ac:dyDescent="0.3">
      <c r="B2" s="66" t="s">
        <v>57</v>
      </c>
      <c r="G2" s="64">
        <f>SUM(G4:G8)</f>
        <v>10</v>
      </c>
      <c r="I2" s="64">
        <f>SUM(I4:I8)</f>
        <v>10</v>
      </c>
    </row>
    <row r="3" spans="2:9" x14ac:dyDescent="0.3">
      <c r="B3" s="66" t="s">
        <v>47</v>
      </c>
      <c r="C3" s="66" t="s">
        <v>48</v>
      </c>
      <c r="D3" s="66" t="s">
        <v>49</v>
      </c>
      <c r="E3" s="66" t="s">
        <v>52</v>
      </c>
      <c r="F3" s="66" t="s">
        <v>54</v>
      </c>
      <c r="G3" s="66" t="s">
        <v>53</v>
      </c>
      <c r="H3" s="66" t="s">
        <v>54</v>
      </c>
      <c r="I3" s="66" t="s">
        <v>53</v>
      </c>
    </row>
    <row r="4" spans="2:9" ht="43.2" x14ac:dyDescent="0.3">
      <c r="B4" s="33" t="s">
        <v>70</v>
      </c>
      <c r="C4" s="68" t="s">
        <v>69</v>
      </c>
      <c r="D4" s="64" t="s">
        <v>50</v>
      </c>
      <c r="E4" s="69">
        <v>0.2</v>
      </c>
      <c r="F4" s="64">
        <v>10</v>
      </c>
      <c r="G4" s="64">
        <f>E4*F4</f>
        <v>2</v>
      </c>
      <c r="H4" s="64">
        <v>10</v>
      </c>
      <c r="I4" s="64">
        <f>E4*H4</f>
        <v>2</v>
      </c>
    </row>
    <row r="5" spans="2:9" ht="43.2" x14ac:dyDescent="0.3">
      <c r="B5" s="67" t="s">
        <v>71</v>
      </c>
      <c r="C5" s="68" t="s">
        <v>69</v>
      </c>
      <c r="D5" s="64" t="s">
        <v>50</v>
      </c>
      <c r="E5" s="69">
        <v>0.2</v>
      </c>
      <c r="F5" s="64">
        <v>10</v>
      </c>
      <c r="G5" s="64">
        <f t="shared" ref="G5:G8" si="0">E5*F5</f>
        <v>2</v>
      </c>
      <c r="H5" s="64">
        <v>10</v>
      </c>
      <c r="I5" s="64">
        <f t="shared" ref="I5:I8" si="1">E5*H5</f>
        <v>2</v>
      </c>
    </row>
    <row r="6" spans="2:9" ht="43.2" x14ac:dyDescent="0.3">
      <c r="B6" s="67" t="s">
        <v>72</v>
      </c>
      <c r="C6" s="68" t="s">
        <v>69</v>
      </c>
      <c r="D6" s="64" t="s">
        <v>50</v>
      </c>
      <c r="E6" s="69">
        <v>0.2</v>
      </c>
      <c r="F6" s="64">
        <v>10</v>
      </c>
      <c r="G6" s="64">
        <f t="shared" si="0"/>
        <v>2</v>
      </c>
      <c r="H6" s="64">
        <v>10</v>
      </c>
      <c r="I6" s="64">
        <f t="shared" si="1"/>
        <v>2</v>
      </c>
    </row>
    <row r="7" spans="2:9" ht="43.2" x14ac:dyDescent="0.3">
      <c r="B7" s="67" t="s">
        <v>73</v>
      </c>
      <c r="C7" s="68" t="s">
        <v>69</v>
      </c>
      <c r="D7" s="64" t="s">
        <v>50</v>
      </c>
      <c r="E7" s="69">
        <v>0.2</v>
      </c>
      <c r="F7" s="64">
        <v>10</v>
      </c>
      <c r="G7" s="64">
        <f t="shared" si="0"/>
        <v>2</v>
      </c>
      <c r="H7" s="64">
        <v>10</v>
      </c>
      <c r="I7" s="64">
        <f t="shared" si="1"/>
        <v>2</v>
      </c>
    </row>
    <row r="8" spans="2:9" ht="43.2" x14ac:dyDescent="0.3">
      <c r="B8" s="67" t="s">
        <v>74</v>
      </c>
      <c r="C8" s="68" t="s">
        <v>69</v>
      </c>
      <c r="D8" s="64" t="s">
        <v>50</v>
      </c>
      <c r="E8" s="69">
        <v>0.2</v>
      </c>
      <c r="F8" s="64">
        <v>10</v>
      </c>
      <c r="G8" s="64">
        <f t="shared" si="0"/>
        <v>2</v>
      </c>
      <c r="H8" s="64">
        <v>10</v>
      </c>
      <c r="I8" s="64">
        <f t="shared" si="1"/>
        <v>2</v>
      </c>
    </row>
    <row r="9" spans="2:9" x14ac:dyDescent="0.3">
      <c r="B9" s="67"/>
      <c r="C9" s="68"/>
      <c r="E9" s="69"/>
    </row>
    <row r="10" spans="2:9" x14ac:dyDescent="0.3">
      <c r="B10" s="66" t="s">
        <v>59</v>
      </c>
      <c r="G10" s="64">
        <f>SUM(G12:G16)</f>
        <v>10</v>
      </c>
      <c r="I10" s="64">
        <f>SUM(I12:I16)</f>
        <v>10</v>
      </c>
    </row>
    <row r="11" spans="2:9" x14ac:dyDescent="0.3">
      <c r="B11" s="66" t="s">
        <v>47</v>
      </c>
      <c r="C11" s="66" t="s">
        <v>48</v>
      </c>
      <c r="D11" s="66" t="s">
        <v>49</v>
      </c>
      <c r="E11" s="66" t="s">
        <v>52</v>
      </c>
      <c r="F11" s="66" t="s">
        <v>54</v>
      </c>
      <c r="G11" s="66" t="s">
        <v>53</v>
      </c>
      <c r="H11" s="66" t="s">
        <v>54</v>
      </c>
      <c r="I11" s="66" t="s">
        <v>53</v>
      </c>
    </row>
    <row r="12" spans="2:9" ht="43.2" x14ac:dyDescent="0.3">
      <c r="B12" s="68" t="s">
        <v>75</v>
      </c>
      <c r="C12" s="68" t="s">
        <v>80</v>
      </c>
      <c r="D12" s="64" t="s">
        <v>50</v>
      </c>
      <c r="E12" s="69">
        <v>0.25</v>
      </c>
      <c r="F12" s="64">
        <v>10</v>
      </c>
      <c r="G12" s="64">
        <f t="shared" ref="G12:G16" si="2">E12*F12</f>
        <v>2.5</v>
      </c>
      <c r="H12" s="64">
        <v>10</v>
      </c>
      <c r="I12" s="64">
        <f t="shared" ref="I12:I16" si="3">E12*H12</f>
        <v>2.5</v>
      </c>
    </row>
    <row r="13" spans="2:9" ht="43.2" x14ac:dyDescent="0.3">
      <c r="B13" s="68" t="s">
        <v>76</v>
      </c>
      <c r="C13" s="68" t="s">
        <v>80</v>
      </c>
      <c r="D13" s="64" t="s">
        <v>50</v>
      </c>
      <c r="E13" s="69">
        <v>0.25</v>
      </c>
      <c r="F13" s="64">
        <v>10</v>
      </c>
      <c r="G13" s="64">
        <f t="shared" si="2"/>
        <v>2.5</v>
      </c>
      <c r="H13" s="64">
        <v>10</v>
      </c>
      <c r="I13" s="64">
        <f t="shared" si="3"/>
        <v>2.5</v>
      </c>
    </row>
    <row r="14" spans="2:9" ht="43.2" x14ac:dyDescent="0.3">
      <c r="B14" s="68" t="s">
        <v>77</v>
      </c>
      <c r="C14" s="68" t="s">
        <v>80</v>
      </c>
      <c r="D14" s="64" t="s">
        <v>50</v>
      </c>
      <c r="E14" s="69">
        <v>0.15</v>
      </c>
      <c r="F14" s="64">
        <v>10</v>
      </c>
      <c r="G14" s="64">
        <f t="shared" si="2"/>
        <v>1.5</v>
      </c>
      <c r="H14" s="64">
        <v>10</v>
      </c>
      <c r="I14" s="64">
        <f t="shared" si="3"/>
        <v>1.5</v>
      </c>
    </row>
    <row r="15" spans="2:9" ht="43.2" x14ac:dyDescent="0.3">
      <c r="B15" s="68" t="s">
        <v>78</v>
      </c>
      <c r="C15" s="68" t="s">
        <v>80</v>
      </c>
      <c r="D15" s="64" t="s">
        <v>50</v>
      </c>
      <c r="E15" s="69">
        <v>0.25</v>
      </c>
      <c r="F15" s="64">
        <v>10</v>
      </c>
      <c r="G15" s="64">
        <f t="shared" si="2"/>
        <v>2.5</v>
      </c>
      <c r="H15" s="64">
        <v>10</v>
      </c>
      <c r="I15" s="64">
        <f t="shared" si="3"/>
        <v>2.5</v>
      </c>
    </row>
    <row r="16" spans="2:9" ht="43.2" x14ac:dyDescent="0.3">
      <c r="B16" s="68" t="s">
        <v>79</v>
      </c>
      <c r="C16" s="68" t="s">
        <v>80</v>
      </c>
      <c r="D16" s="64" t="s">
        <v>50</v>
      </c>
      <c r="E16" s="69">
        <v>0.1</v>
      </c>
      <c r="F16" s="64">
        <v>10</v>
      </c>
      <c r="G16" s="64">
        <f t="shared" si="2"/>
        <v>1</v>
      </c>
      <c r="H16" s="64">
        <v>10</v>
      </c>
      <c r="I16" s="64">
        <f t="shared" si="3"/>
        <v>1</v>
      </c>
    </row>
    <row r="18" spans="2:9" x14ac:dyDescent="0.3">
      <c r="B18" s="66" t="s">
        <v>61</v>
      </c>
      <c r="G18" s="64">
        <f>SUM(G20:G23)</f>
        <v>10</v>
      </c>
      <c r="I18" s="64">
        <f>SUM(I20:I23)</f>
        <v>10</v>
      </c>
    </row>
    <row r="19" spans="2:9" x14ac:dyDescent="0.3">
      <c r="B19" s="66" t="s">
        <v>47</v>
      </c>
      <c r="C19" s="66" t="s">
        <v>48</v>
      </c>
      <c r="D19" s="66" t="s">
        <v>49</v>
      </c>
      <c r="E19" s="66" t="s">
        <v>52</v>
      </c>
      <c r="F19" s="66" t="s">
        <v>54</v>
      </c>
      <c r="G19" s="66" t="s">
        <v>53</v>
      </c>
      <c r="H19" s="66" t="s">
        <v>54</v>
      </c>
      <c r="I19" s="66" t="s">
        <v>53</v>
      </c>
    </row>
    <row r="20" spans="2:9" ht="57.6" x14ac:dyDescent="0.3">
      <c r="B20" s="68" t="s">
        <v>81</v>
      </c>
      <c r="C20" s="68" t="s">
        <v>85</v>
      </c>
      <c r="D20" s="64" t="s">
        <v>50</v>
      </c>
      <c r="E20" s="70">
        <v>0.25</v>
      </c>
      <c r="F20" s="64">
        <v>10</v>
      </c>
      <c r="G20" s="64">
        <f t="shared" ref="G20:G22" si="4">E20*F20</f>
        <v>2.5</v>
      </c>
      <c r="H20" s="64">
        <v>10</v>
      </c>
      <c r="I20" s="64">
        <f t="shared" ref="I20:I22" si="5">E20*H20</f>
        <v>2.5</v>
      </c>
    </row>
    <row r="21" spans="2:9" ht="57.6" x14ac:dyDescent="0.3">
      <c r="B21" s="68" t="s">
        <v>82</v>
      </c>
      <c r="C21" s="68" t="s">
        <v>85</v>
      </c>
      <c r="D21" s="64" t="s">
        <v>50</v>
      </c>
      <c r="E21" s="70">
        <v>0.25</v>
      </c>
      <c r="F21" s="64">
        <v>10</v>
      </c>
      <c r="G21" s="64">
        <f t="shared" si="4"/>
        <v>2.5</v>
      </c>
      <c r="H21" s="64">
        <v>10</v>
      </c>
      <c r="I21" s="64">
        <f t="shared" si="5"/>
        <v>2.5</v>
      </c>
    </row>
    <row r="22" spans="2:9" ht="57.6" x14ac:dyDescent="0.3">
      <c r="B22" s="68" t="s">
        <v>83</v>
      </c>
      <c r="C22" s="68" t="s">
        <v>85</v>
      </c>
      <c r="D22" s="64" t="s">
        <v>50</v>
      </c>
      <c r="E22" s="70">
        <v>0.25</v>
      </c>
      <c r="F22" s="64">
        <v>10</v>
      </c>
      <c r="G22" s="64">
        <f t="shared" si="4"/>
        <v>2.5</v>
      </c>
      <c r="H22" s="64">
        <v>10</v>
      </c>
      <c r="I22" s="64">
        <f t="shared" si="5"/>
        <v>2.5</v>
      </c>
    </row>
    <row r="23" spans="2:9" ht="57.6" x14ac:dyDescent="0.3">
      <c r="B23" s="68" t="s">
        <v>84</v>
      </c>
      <c r="C23" s="68" t="s">
        <v>85</v>
      </c>
      <c r="D23" s="64" t="s">
        <v>50</v>
      </c>
      <c r="E23" s="70">
        <v>0.25</v>
      </c>
      <c r="F23" s="64">
        <v>10</v>
      </c>
      <c r="G23" s="64">
        <f t="shared" ref="G23" si="6">E23*F23</f>
        <v>2.5</v>
      </c>
      <c r="H23" s="64">
        <v>10</v>
      </c>
      <c r="I23" s="64">
        <f t="shared" ref="I23" si="7">E23*H23</f>
        <v>2.5</v>
      </c>
    </row>
    <row r="24" spans="2:9" x14ac:dyDescent="0.3">
      <c r="B24" s="68"/>
    </row>
    <row r="25" spans="2:9" x14ac:dyDescent="0.3">
      <c r="B25" s="66" t="s">
        <v>63</v>
      </c>
      <c r="G25" s="64">
        <f>SUM(G27:G31)</f>
        <v>10</v>
      </c>
      <c r="I25" s="64">
        <f>SUM(I27:I31)</f>
        <v>10</v>
      </c>
    </row>
    <row r="26" spans="2:9" x14ac:dyDescent="0.3">
      <c r="B26" s="66" t="s">
        <v>47</v>
      </c>
      <c r="C26" s="66" t="s">
        <v>48</v>
      </c>
      <c r="D26" s="66" t="s">
        <v>49</v>
      </c>
      <c r="E26" s="66" t="s">
        <v>52</v>
      </c>
      <c r="F26" s="66" t="s">
        <v>54</v>
      </c>
      <c r="G26" s="66" t="s">
        <v>53</v>
      </c>
      <c r="H26" s="66" t="s">
        <v>54</v>
      </c>
      <c r="I26" s="66" t="s">
        <v>53</v>
      </c>
    </row>
    <row r="27" spans="2:9" ht="28.8" x14ac:dyDescent="0.3">
      <c r="B27" s="68" t="s">
        <v>86</v>
      </c>
      <c r="C27" s="68" t="s">
        <v>91</v>
      </c>
      <c r="D27" s="64" t="s">
        <v>50</v>
      </c>
      <c r="E27" s="70">
        <v>0.2</v>
      </c>
      <c r="F27" s="64">
        <v>10</v>
      </c>
      <c r="G27" s="64">
        <f t="shared" ref="G27:G31" si="8">E27*F27</f>
        <v>2</v>
      </c>
      <c r="H27" s="64">
        <v>10</v>
      </c>
      <c r="I27" s="64">
        <f t="shared" ref="I27:I31" si="9">E27*H27</f>
        <v>2</v>
      </c>
    </row>
    <row r="28" spans="2:9" ht="43.2" x14ac:dyDescent="0.3">
      <c r="B28" s="68" t="s">
        <v>87</v>
      </c>
      <c r="C28" s="68" t="s">
        <v>91</v>
      </c>
      <c r="D28" s="64" t="s">
        <v>50</v>
      </c>
      <c r="E28" s="70">
        <v>0.2</v>
      </c>
      <c r="F28" s="64">
        <v>10</v>
      </c>
      <c r="G28" s="64">
        <f t="shared" si="8"/>
        <v>2</v>
      </c>
      <c r="H28" s="64">
        <v>10</v>
      </c>
      <c r="I28" s="64">
        <f t="shared" si="9"/>
        <v>2</v>
      </c>
    </row>
    <row r="29" spans="2:9" ht="43.2" x14ac:dyDescent="0.3">
      <c r="B29" s="68" t="s">
        <v>88</v>
      </c>
      <c r="C29" s="68" t="s">
        <v>91</v>
      </c>
      <c r="D29" s="64" t="s">
        <v>50</v>
      </c>
      <c r="E29" s="70">
        <v>0.2</v>
      </c>
      <c r="F29" s="64">
        <v>10</v>
      </c>
      <c r="G29" s="64">
        <f t="shared" si="8"/>
        <v>2</v>
      </c>
      <c r="H29" s="64">
        <v>10</v>
      </c>
      <c r="I29" s="64">
        <f t="shared" si="9"/>
        <v>2</v>
      </c>
    </row>
    <row r="30" spans="2:9" ht="28.8" x14ac:dyDescent="0.3">
      <c r="B30" s="68" t="s">
        <v>89</v>
      </c>
      <c r="C30" s="68" t="s">
        <v>91</v>
      </c>
      <c r="D30" s="64" t="s">
        <v>50</v>
      </c>
      <c r="E30" s="70">
        <v>0.2</v>
      </c>
      <c r="F30" s="64">
        <v>10</v>
      </c>
      <c r="G30" s="64">
        <f t="shared" si="8"/>
        <v>2</v>
      </c>
      <c r="H30" s="64">
        <v>10</v>
      </c>
      <c r="I30" s="64">
        <f t="shared" si="9"/>
        <v>2</v>
      </c>
    </row>
    <row r="31" spans="2:9" ht="43.2" x14ac:dyDescent="0.3">
      <c r="B31" s="68" t="s">
        <v>90</v>
      </c>
      <c r="C31" s="68" t="s">
        <v>91</v>
      </c>
      <c r="D31" s="64" t="s">
        <v>50</v>
      </c>
      <c r="E31" s="70">
        <v>0.2</v>
      </c>
      <c r="F31" s="64">
        <v>10</v>
      </c>
      <c r="G31" s="64">
        <f t="shared" si="8"/>
        <v>2</v>
      </c>
      <c r="H31" s="64">
        <v>10</v>
      </c>
      <c r="I31" s="64">
        <f t="shared" si="9"/>
        <v>2</v>
      </c>
    </row>
    <row r="32" spans="2:9" x14ac:dyDescent="0.3">
      <c r="B32" s="68"/>
      <c r="C32" s="68"/>
      <c r="D32" s="71"/>
      <c r="E32" s="70"/>
    </row>
    <row r="33" spans="2:9" x14ac:dyDescent="0.3">
      <c r="B33" s="68"/>
      <c r="C33" s="68"/>
    </row>
    <row r="34" spans="2:9" x14ac:dyDescent="0.3">
      <c r="B34" s="66" t="s">
        <v>65</v>
      </c>
      <c r="G34" s="64">
        <f>SUM(G36:G41)</f>
        <v>10</v>
      </c>
      <c r="I34" s="64">
        <f>SUM(I36:I41)</f>
        <v>10</v>
      </c>
    </row>
    <row r="35" spans="2:9" x14ac:dyDescent="0.3">
      <c r="B35" s="66" t="s">
        <v>47</v>
      </c>
      <c r="C35" s="66" t="s">
        <v>48</v>
      </c>
      <c r="D35" s="66" t="s">
        <v>49</v>
      </c>
      <c r="E35" s="66" t="s">
        <v>52</v>
      </c>
      <c r="F35" s="66" t="s">
        <v>54</v>
      </c>
      <c r="G35" s="66" t="s">
        <v>53</v>
      </c>
      <c r="H35" s="66" t="s">
        <v>54</v>
      </c>
      <c r="I35" s="66" t="s">
        <v>53</v>
      </c>
    </row>
    <row r="36" spans="2:9" ht="86.4" x14ac:dyDescent="0.3">
      <c r="B36" s="68" t="s">
        <v>92</v>
      </c>
      <c r="C36" s="68" t="s">
        <v>98</v>
      </c>
      <c r="D36" s="64" t="s">
        <v>51</v>
      </c>
      <c r="E36" s="70">
        <v>0.15</v>
      </c>
      <c r="F36" s="64">
        <v>10</v>
      </c>
      <c r="G36" s="64">
        <f>E36*F36</f>
        <v>1.5</v>
      </c>
      <c r="H36" s="64">
        <v>10</v>
      </c>
      <c r="I36" s="64">
        <f t="shared" ref="I36:I40" si="10">E36*H36</f>
        <v>1.5</v>
      </c>
    </row>
    <row r="37" spans="2:9" ht="86.4" x14ac:dyDescent="0.3">
      <c r="B37" s="68" t="s">
        <v>93</v>
      </c>
      <c r="C37" s="68" t="s">
        <v>98</v>
      </c>
      <c r="D37" s="64" t="s">
        <v>51</v>
      </c>
      <c r="E37" s="70">
        <v>0.15</v>
      </c>
      <c r="F37" s="64">
        <v>10</v>
      </c>
      <c r="G37" s="64">
        <f t="shared" ref="G37:G40" si="11">E37*F37</f>
        <v>1.5</v>
      </c>
      <c r="H37" s="64">
        <v>10</v>
      </c>
      <c r="I37" s="64">
        <f t="shared" si="10"/>
        <v>1.5</v>
      </c>
    </row>
    <row r="38" spans="2:9" ht="86.4" x14ac:dyDescent="0.3">
      <c r="B38" s="68" t="s">
        <v>94</v>
      </c>
      <c r="C38" s="68" t="s">
        <v>98</v>
      </c>
      <c r="D38" s="64" t="s">
        <v>51</v>
      </c>
      <c r="E38" s="70">
        <v>0.15</v>
      </c>
      <c r="F38" s="64">
        <v>10</v>
      </c>
      <c r="G38" s="64">
        <f t="shared" si="11"/>
        <v>1.5</v>
      </c>
      <c r="H38" s="64">
        <v>10</v>
      </c>
      <c r="I38" s="64">
        <f t="shared" si="10"/>
        <v>1.5</v>
      </c>
    </row>
    <row r="39" spans="2:9" ht="86.4" x14ac:dyDescent="0.3">
      <c r="B39" s="68" t="s">
        <v>95</v>
      </c>
      <c r="C39" s="68" t="s">
        <v>98</v>
      </c>
      <c r="D39" s="64" t="s">
        <v>51</v>
      </c>
      <c r="E39" s="70">
        <v>0.2</v>
      </c>
      <c r="F39" s="64">
        <v>10</v>
      </c>
      <c r="G39" s="64">
        <f t="shared" si="11"/>
        <v>2</v>
      </c>
      <c r="H39" s="64">
        <v>10</v>
      </c>
      <c r="I39" s="64">
        <f t="shared" si="10"/>
        <v>2</v>
      </c>
    </row>
    <row r="40" spans="2:9" ht="86.4" x14ac:dyDescent="0.3">
      <c r="B40" s="68" t="s">
        <v>96</v>
      </c>
      <c r="C40" s="68" t="s">
        <v>98</v>
      </c>
      <c r="D40" s="64" t="s">
        <v>51</v>
      </c>
      <c r="E40" s="70">
        <v>0.2</v>
      </c>
      <c r="F40" s="64">
        <v>10</v>
      </c>
      <c r="G40" s="64">
        <f t="shared" si="11"/>
        <v>2</v>
      </c>
      <c r="H40" s="64">
        <v>10</v>
      </c>
      <c r="I40" s="64">
        <f t="shared" si="10"/>
        <v>2</v>
      </c>
    </row>
    <row r="41" spans="2:9" ht="86.4" x14ac:dyDescent="0.3">
      <c r="B41" s="68" t="s">
        <v>97</v>
      </c>
      <c r="C41" s="68" t="s">
        <v>98</v>
      </c>
      <c r="D41" s="64" t="s">
        <v>51</v>
      </c>
      <c r="E41" s="70">
        <v>0.15</v>
      </c>
      <c r="F41" s="64">
        <v>10</v>
      </c>
      <c r="G41" s="64">
        <f t="shared" ref="G41" si="12">E41*F41</f>
        <v>1.5</v>
      </c>
      <c r="H41" s="64">
        <v>10</v>
      </c>
      <c r="I41" s="64">
        <f t="shared" ref="I41" si="13">E41*H41</f>
        <v>1.5</v>
      </c>
    </row>
    <row r="43" spans="2:9" x14ac:dyDescent="0.3">
      <c r="B43" s="66" t="s">
        <v>67</v>
      </c>
      <c r="G43" s="64">
        <f>SUM(G45:G50)</f>
        <v>10</v>
      </c>
      <c r="I43" s="64">
        <f>SUM(I45:I50)</f>
        <v>10</v>
      </c>
    </row>
    <row r="44" spans="2:9" x14ac:dyDescent="0.3">
      <c r="B44" s="66" t="s">
        <v>47</v>
      </c>
      <c r="C44" s="66" t="s">
        <v>48</v>
      </c>
      <c r="D44" s="66" t="s">
        <v>49</v>
      </c>
      <c r="E44" s="66" t="s">
        <v>52</v>
      </c>
      <c r="F44" s="66" t="s">
        <v>54</v>
      </c>
      <c r="G44" s="66" t="s">
        <v>53</v>
      </c>
      <c r="H44" s="66" t="s">
        <v>54</v>
      </c>
      <c r="I44" s="66" t="s">
        <v>53</v>
      </c>
    </row>
    <row r="45" spans="2:9" ht="72" x14ac:dyDescent="0.3">
      <c r="B45" s="68" t="s">
        <v>99</v>
      </c>
      <c r="C45" s="68" t="s">
        <v>105</v>
      </c>
      <c r="D45" s="64" t="s">
        <v>51</v>
      </c>
      <c r="E45" s="70">
        <v>0.25</v>
      </c>
      <c r="F45" s="64">
        <v>10</v>
      </c>
      <c r="G45" s="64">
        <f>E45*F45</f>
        <v>2.5</v>
      </c>
      <c r="H45" s="64">
        <v>10</v>
      </c>
      <c r="I45" s="64">
        <f t="shared" ref="I45:I48" si="14">E45*H45</f>
        <v>2.5</v>
      </c>
    </row>
    <row r="46" spans="2:9" ht="72" x14ac:dyDescent="0.3">
      <c r="B46" s="68" t="s">
        <v>100</v>
      </c>
      <c r="C46" s="68" t="s">
        <v>105</v>
      </c>
      <c r="D46" s="64" t="s">
        <v>51</v>
      </c>
      <c r="E46" s="70">
        <v>0.15</v>
      </c>
      <c r="F46" s="64">
        <v>10</v>
      </c>
      <c r="G46" s="64">
        <f t="shared" ref="G46:G48" si="15">E46*F46</f>
        <v>1.5</v>
      </c>
      <c r="H46" s="64">
        <v>10</v>
      </c>
      <c r="I46" s="64">
        <f t="shared" si="14"/>
        <v>1.5</v>
      </c>
    </row>
    <row r="47" spans="2:9" ht="72" x14ac:dyDescent="0.3">
      <c r="B47" s="68" t="s">
        <v>101</v>
      </c>
      <c r="C47" s="68" t="s">
        <v>105</v>
      </c>
      <c r="D47" s="64" t="s">
        <v>51</v>
      </c>
      <c r="E47" s="70">
        <v>0.15</v>
      </c>
      <c r="F47" s="64">
        <v>10</v>
      </c>
      <c r="G47" s="64">
        <f t="shared" si="15"/>
        <v>1.5</v>
      </c>
      <c r="H47" s="64">
        <v>10</v>
      </c>
      <c r="I47" s="64">
        <f t="shared" si="14"/>
        <v>1.5</v>
      </c>
    </row>
    <row r="48" spans="2:9" ht="72" x14ac:dyDescent="0.3">
      <c r="B48" s="68" t="s">
        <v>102</v>
      </c>
      <c r="C48" s="68" t="s">
        <v>105</v>
      </c>
      <c r="D48" s="64" t="s">
        <v>51</v>
      </c>
      <c r="E48" s="70">
        <v>0.15</v>
      </c>
      <c r="F48" s="64">
        <v>10</v>
      </c>
      <c r="G48" s="64">
        <f t="shared" si="15"/>
        <v>1.5</v>
      </c>
      <c r="H48" s="64">
        <v>10</v>
      </c>
      <c r="I48" s="64">
        <f t="shared" si="14"/>
        <v>1.5</v>
      </c>
    </row>
    <row r="49" spans="2:9" ht="72" x14ac:dyDescent="0.3">
      <c r="B49" s="68" t="s">
        <v>103</v>
      </c>
      <c r="C49" s="68" t="s">
        <v>105</v>
      </c>
      <c r="D49" s="64" t="s">
        <v>51</v>
      </c>
      <c r="E49" s="70">
        <v>0.15</v>
      </c>
      <c r="F49" s="64">
        <v>10</v>
      </c>
      <c r="G49" s="64">
        <f t="shared" ref="G49:G50" si="16">E49*F49</f>
        <v>1.5</v>
      </c>
      <c r="H49" s="64">
        <v>10</v>
      </c>
      <c r="I49" s="64">
        <f t="shared" ref="I49:I50" si="17">E49*H49</f>
        <v>1.5</v>
      </c>
    </row>
    <row r="50" spans="2:9" ht="72" x14ac:dyDescent="0.3">
      <c r="B50" s="68" t="s">
        <v>104</v>
      </c>
      <c r="C50" s="68" t="s">
        <v>105</v>
      </c>
      <c r="D50" s="64" t="s">
        <v>51</v>
      </c>
      <c r="E50" s="70">
        <v>0.15</v>
      </c>
      <c r="F50" s="64">
        <v>10</v>
      </c>
      <c r="G50" s="64">
        <f t="shared" si="16"/>
        <v>1.5</v>
      </c>
      <c r="H50" s="64">
        <v>10</v>
      </c>
      <c r="I50" s="64">
        <f t="shared" si="17"/>
        <v>1.5</v>
      </c>
    </row>
  </sheetData>
  <mergeCells count="2">
    <mergeCell ref="F1:G1"/>
    <mergeCell ref="H1:I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TP_Ky_thuat</vt:lpstr>
      <vt:lpstr>Sheet1</vt:lpstr>
      <vt:lpstr>TP_Ky_thuat!Print_Area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Thế Cường</dc:creator>
  <cp:lastModifiedBy>Long HMI</cp:lastModifiedBy>
  <cp:lastPrinted>2026-08-20T10:26:17Z</cp:lastPrinted>
  <dcterms:created xsi:type="dcterms:W3CDTF">2026-08-20T10:13:29Z</dcterms:created>
  <dcterms:modified xsi:type="dcterms:W3CDTF">2026-08-25T03:35:13Z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2026-08-20T10:14:10Z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724dde99-7e70-4069-8892-5e6df9802e3b</vt:lpwstr>
  </property>
  <property fmtid="{D5CDD505-2E9C-101B-9397-08002B2CF9AE}" pid="7" name="MSIP_Label_defa4170-0d19-0005-0004-bc88714345d2_ActionId">
    <vt:lpwstr>9f05891a-654f-4249-966e-656a06d7fd08</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