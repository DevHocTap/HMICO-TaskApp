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61a907b7ce4853/Hoang Minh/Long/KPI T8/"/>
    </mc:Choice>
  </mc:AlternateContent>
  <xr:revisionPtr revIDLastSave="5" documentId="8_{DF3C6443-153E-4CA9-8C02-0B84BB722686}" xr6:coauthVersionLast="47" xr6:coauthVersionMax="47" xr10:uidLastSave="{9C9C1C6D-1161-44F2-9A40-996752DAED02}"/>
  <bookViews>
    <workbookView xWindow="-108" yWindow="-108" windowWidth="23256" windowHeight="12456" activeTab="1" xr2:uid="{4A6D3853-6266-5646-B587-DD03D25661DD}"/>
  </bookViews>
  <sheets>
    <sheet name="TP_Ky_thuat" sheetId="1" r:id="rId1"/>
    <sheet name="Sheet1" sheetId="2" r:id="rId2"/>
  </sheets>
  <definedNames>
    <definedName name="_xlnm.Print_Area" localSheetId="0">TP_Ky_thuat!$A$1:$L$36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J21" i="1" s="1"/>
  <c r="K21" i="1" s="1"/>
  <c r="I20" i="1"/>
  <c r="J20" i="1" s="1"/>
  <c r="K20" i="1" s="1"/>
  <c r="I19" i="1"/>
  <c r="I18" i="1"/>
  <c r="I17" i="1"/>
  <c r="J17" i="1" s="1"/>
  <c r="K17" i="1" s="1"/>
  <c r="I16" i="1"/>
  <c r="J16" i="1" s="1"/>
  <c r="K16" i="1" s="1"/>
  <c r="I15" i="1"/>
  <c r="J15" i="1" s="1"/>
  <c r="K15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F16" i="1"/>
  <c r="G16" i="1" s="1"/>
  <c r="H16" i="1" s="1"/>
  <c r="I48" i="2"/>
  <c r="G48" i="2"/>
  <c r="I51" i="2"/>
  <c r="G51" i="2"/>
  <c r="I50" i="2"/>
  <c r="G50" i="2"/>
  <c r="I41" i="2"/>
  <c r="G41" i="2"/>
  <c r="I46" i="2"/>
  <c r="G46" i="2"/>
  <c r="I45" i="2"/>
  <c r="G45" i="2"/>
  <c r="I44" i="2"/>
  <c r="G44" i="2"/>
  <c r="I43" i="2"/>
  <c r="G43" i="2"/>
  <c r="I32" i="2"/>
  <c r="G32" i="2"/>
  <c r="I39" i="2"/>
  <c r="I38" i="2"/>
  <c r="I37" i="2"/>
  <c r="I36" i="2"/>
  <c r="I35" i="2"/>
  <c r="I34" i="2"/>
  <c r="G35" i="2"/>
  <c r="G36" i="2"/>
  <c r="G37" i="2"/>
  <c r="G38" i="2"/>
  <c r="G39" i="2"/>
  <c r="G34" i="2"/>
  <c r="I26" i="2"/>
  <c r="G26" i="2"/>
  <c r="I30" i="2"/>
  <c r="G30" i="2"/>
  <c r="I29" i="2"/>
  <c r="G29" i="2"/>
  <c r="I28" i="2"/>
  <c r="G28" i="2"/>
  <c r="I19" i="2"/>
  <c r="G19" i="2"/>
  <c r="I24" i="2"/>
  <c r="G24" i="2"/>
  <c r="I23" i="2"/>
  <c r="G23" i="2"/>
  <c r="I22" i="2"/>
  <c r="G22" i="2"/>
  <c r="I21" i="2"/>
  <c r="G21" i="2"/>
  <c r="I13" i="2"/>
  <c r="I14" i="2"/>
  <c r="I15" i="2"/>
  <c r="I16" i="2"/>
  <c r="I17" i="2"/>
  <c r="I12" i="2"/>
  <c r="I10" i="2" s="1"/>
  <c r="I5" i="2"/>
  <c r="I6" i="2"/>
  <c r="I7" i="2"/>
  <c r="I8" i="2"/>
  <c r="I4" i="2"/>
  <c r="I2" i="2"/>
  <c r="G10" i="2"/>
  <c r="G17" i="2"/>
  <c r="G16" i="2"/>
  <c r="G15" i="2"/>
  <c r="G14" i="2"/>
  <c r="G13" i="2"/>
  <c r="G12" i="2"/>
  <c r="G2" i="2"/>
  <c r="F15" i="1" s="1"/>
  <c r="G15" i="1" s="1"/>
  <c r="H15" i="1" s="1"/>
  <c r="G5" i="2"/>
  <c r="G6" i="2"/>
  <c r="G7" i="2"/>
  <c r="G8" i="2"/>
  <c r="G4" i="2"/>
  <c r="D27" i="1"/>
  <c r="J26" i="1"/>
  <c r="K26" i="1" s="1"/>
  <c r="G26" i="1"/>
  <c r="H26" i="1" s="1"/>
  <c r="J25" i="1"/>
  <c r="K25" i="1" s="1"/>
  <c r="G25" i="1"/>
  <c r="H25" i="1" s="1"/>
  <c r="J24" i="1"/>
  <c r="K24" i="1" s="1"/>
  <c r="G24" i="1"/>
  <c r="H24" i="1" s="1"/>
  <c r="D22" i="1"/>
  <c r="J19" i="1"/>
  <c r="K19" i="1" s="1"/>
  <c r="J18" i="1"/>
  <c r="K18" i="1" s="1"/>
  <c r="H27" i="1" l="1"/>
  <c r="K27" i="1"/>
  <c r="A28" i="1"/>
  <c r="K22" i="1"/>
  <c r="K28" i="1" s="1"/>
  <c r="F29" i="1" s="1"/>
  <c r="H22" i="1"/>
  <c r="H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HMICO - HCNS</author>
    <author>Nguyễn Thế Cường</author>
  </authors>
  <commentList>
    <comment ref="B15" authorId="0" shapeId="0" xr:uid="{D0007AB0-9BEA-A841-BB5B-723073F08000}">
      <text>
        <r>
          <rPr>
            <sz val="11"/>
            <color theme="1"/>
            <rFont val="Calibri"/>
            <family val="2"/>
            <charset val="1"/>
          </rPr>
          <t>Chỉ tiêu cụ thể: % hoàn thành kế hoạch/ chỉ tiêu chung của bộ phận trong tháng.</t>
        </r>
      </text>
    </comment>
    <comment ref="B16" authorId="0" shapeId="0" xr:uid="{DBF92732-F81C-6C4E-BA8B-A06EDFE006A3}">
      <text>
        <r>
          <rPr>
            <sz val="11"/>
            <color theme="1"/>
            <rFont val="Calibri"/>
            <family val="2"/>
            <charset val="1"/>
          </rPr>
          <t>Chỉ tiêu cụ thể: số lượt giám sát, nhắc nhở, xử lý vi phạm của nhân viên trực thuộc được ghi nhận kịp thời trong tháng.</t>
        </r>
      </text>
    </comment>
    <comment ref="B17" authorId="0" shapeId="0" xr:uid="{94AFEB12-1376-2941-B7E2-B2B783EFA8D6}">
      <text>
        <r>
          <rPr>
            <sz val="11"/>
            <color theme="1"/>
            <rFont val="Calibri"/>
            <family val="2"/>
            <charset val="1"/>
          </rPr>
          <t>Chỉ tiêu cụ thể: % nhân viên trực thuộc đạt KPI Khá (&gt;=90%) trở lên trong tháng.</t>
        </r>
      </text>
    </comment>
    <comment ref="B18" authorId="0" shapeId="0" xr:uid="{CC1BD9AC-84DF-E046-839F-583B40A5D9F7}">
      <text>
        <r>
          <rPr>
            <sz val="11"/>
            <color theme="1"/>
            <rFont val="Calibri"/>
            <family val="2"/>
            <charset val="1"/>
          </rPr>
          <t>Chỉ tiêu cụ thể: số buổi đào tạo/ hướng dẫn/ kèm cặp nhân viên trực thuộc trong tháng.</t>
        </r>
      </text>
    </comment>
    <comment ref="B19" authorId="1" shapeId="0" xr:uid="{7139E108-AA3A-B74D-9CD1-7B1B894E5957}">
      <text>
        <r>
          <rPr>
            <sz val="11"/>
            <color theme="1"/>
            <rFont val="Calibri"/>
            <family val="2"/>
            <charset val="1"/>
          </rPr>
          <t>Nguyễn Thế Cường:
Công việc được giao, có xác nhận thực hiện.</t>
        </r>
      </text>
    </comment>
    <comment ref="B24" authorId="0" shapeId="0" xr:uid="{C864DE89-7263-EE44-B712-B625E9102B57}">
      <text>
        <r>
          <rPr>
            <sz val="11"/>
            <color theme="1"/>
            <rFont val="Calibri"/>
            <family val="2"/>
            <charset val="1"/>
          </rPr>
          <t>Chỉ tiêu cụ thể: số lần đi trễ/ về sớm không phép trong tháng (mục tiêu: 0 lần).</t>
        </r>
      </text>
    </comment>
    <comment ref="C24" authorId="1" shapeId="0" xr:uid="{5A0B0C58-3F1A-D545-9301-F7298B11E0DE}">
      <text>
        <r>
          <rPr>
            <sz val="11"/>
            <color theme="1"/>
            <rFont val="Calibri"/>
            <family val="2"/>
            <charset val="1"/>
          </rPr>
          <t>Nguyễn Thế Cường:
Đi trễ về sớm, không có lý do chính đáng mặc định trừ 1 điểm</t>
        </r>
      </text>
    </comment>
    <comment ref="B25" authorId="0" shapeId="0" xr:uid="{E9335B81-1175-0241-B160-2F3D3BFF3C9C}">
      <text>
        <r>
          <rPr>
            <sz val="11"/>
            <color theme="1"/>
            <rFont val="Calibri"/>
            <family val="2"/>
            <charset val="1"/>
          </rPr>
          <t>Chỉ tiêu cụ thể: số vụ vi phạm nội quy của bộ phận không được phát hiện/ xử lý kịp thời (mục tiêu: 0 vụ).</t>
        </r>
      </text>
    </comment>
    <comment ref="B26" authorId="0" shapeId="0" xr:uid="{5B826264-E7A5-6443-846B-B5530116B950}">
      <text>
        <r>
          <rPr>
            <sz val="11"/>
            <color theme="1"/>
            <rFont val="Calibri"/>
            <family val="2"/>
            <charset val="1"/>
          </rPr>
          <t>Chỉ tiêu cụ thể: số lần được ghi nhận/ phản ánh về thái độ, tinh thần gương mẫu trong tháng.</t>
        </r>
      </text>
    </comment>
  </commentList>
</comments>
</file>

<file path=xl/sharedStrings.xml><?xml version="1.0" encoding="utf-8"?>
<sst xmlns="http://schemas.openxmlformats.org/spreadsheetml/2006/main" count="185" uniqueCount="118">
  <si>
    <t>CÔNG TY CỔ PHẦN ĐẦU TƯ CÔNG NGHỆ HOÀNG MINH (HMICO)</t>
  </si>
  <si>
    <t>CỘNG HÒA XÃ HỘI CHỦ NGHĨA VIỆT NAM</t>
  </si>
  <si>
    <t>BM.01-KPI.KYTHUAT</t>
  </si>
  <si>
    <t>Độc lập - Tự do - Hạnh phúc</t>
  </si>
  <si>
    <t>BIỂU MẪU ĐÁNH GIÁ KPI HOÀN THÀNH CÔNG VIỆC</t>
  </si>
  <si>
    <t>Tháng: 08/2026</t>
  </si>
  <si>
    <t>Họ và tên:</t>
  </si>
  <si>
    <t>Cấp bậc (Level):</t>
  </si>
  <si>
    <t>Mã nhân viên:</t>
  </si>
  <si>
    <t>Kỳ đánh giá (Tháng/Năm):</t>
  </si>
  <si>
    <t>Phòng/ Ban:</t>
  </si>
  <si>
    <t>Phòng Kỹ thuật</t>
  </si>
  <si>
    <t>Người đánh giá (Trưởng bộ phận):</t>
  </si>
  <si>
    <t>Chức danh:</t>
  </si>
  <si>
    <t>Ngày đánh giá:</t>
  </si>
  <si>
    <t>MỤC 1. BSC CÔNG VIỆC (BALANCED SCORECARD)  -  Tổng trọng số: 70%</t>
  </si>
  <si>
    <t>STT</t>
  </si>
  <si>
    <t>Mục tiêu/ Tiêu chí đánh giá</t>
  </si>
  <si>
    <t>Chỉ tiêu cụ thể</t>
  </si>
  <si>
    <t>Trọng số
(%)</t>
  </si>
  <si>
    <t>Thang điểm
tối đa</t>
  </si>
  <si>
    <t>NGƯỜI LAO ĐỘNG TỰ ĐÁNH GIÁ</t>
  </si>
  <si>
    <t>TRƯỞNG BỘ PHẬN ĐÁNH GIÁ</t>
  </si>
  <si>
    <t>Ghi chú</t>
  </si>
  <si>
    <t>Điểm đạt
được</t>
  </si>
  <si>
    <t>% đạt
tiêu chí</t>
  </si>
  <si>
    <t>% đóng
góp/tổng</t>
  </si>
  <si>
    <t>&gt;=90% công trình đúng hạn</t>
  </si>
  <si>
    <t>Cộng Mục 1 (BSC công việc)</t>
  </si>
  <si>
    <t>MỤC 2. CHẤP HÀNH NỘI QUY, QUY ĐỊNH CÔNG TY  -  Tổng trọng số: 30%</t>
  </si>
  <si>
    <t>Số lần đi trễ/ về sớm không phép</t>
  </si>
  <si>
    <t>Số lần đi trễ/ về sớm trên 30 phút.</t>
  </si>
  <si>
    <t>Vi phạm bộ phận chưa xử lý kịp thời</t>
  </si>
  <si>
    <t>Giữ gìn văn hóa doanh nghiệp, chấp hành nội quy lao động.</t>
  </si>
  <si>
    <t>Cộng Mục 2 (Chấp hành nội quy)</t>
  </si>
  <si>
    <t>TỔNG (NLĐ tự ĐG):</t>
  </si>
  <si>
    <t>TỔNG (QL đánh giá):</t>
  </si>
  <si>
    <t>XẾP LOẠI KẾT QUẢ ĐÁNH GIÁ</t>
  </si>
  <si>
    <t>Thang xếp loại (4 bậc, theo Tổng điểm KPI - QL đánh giá):  &lt;80% Chưa đạt | 80-89% Cần cải thiện | 90-100% Hoàn thành | &gt;100% Vượt chỉ tiêu (mức tham chiếu 100-120%)</t>
  </si>
  <si>
    <t>(*) Chưa đạt (&lt;80%): Không hoàn thành nhiều chỉ tiêu quan trọng, cần xem xét lại thái độ và năng lực, có thể cân nhắc lại tính hiệu quả công việc.</t>
  </si>
  <si>
    <t>NGƯỜI LAO ĐỘNG</t>
  </si>
  <si>
    <t>TRƯỞNG BỘ PHẬN</t>
  </si>
  <si>
    <t>PHÒNG HCNS</t>
  </si>
  <si>
    <t>BAN GIÁM ĐỐC</t>
  </si>
  <si>
    <t>Ký ghi rõ họ tên</t>
  </si>
  <si>
    <t>Ký ghi rõ họ tên 
(Trường hợp phải soát xét)</t>
  </si>
  <si>
    <t>Gửi kết quả đánh giá về Phòng HCNS trước ngày 02 tháng kế tiếp.</t>
  </si>
  <si>
    <t>Kỹ sư triển khai</t>
  </si>
  <si>
    <t>Tiến độ thi công/ triển khai</t>
  </si>
  <si>
    <t>Chất lượng thi công công trình</t>
  </si>
  <si>
    <t>Công trình không xảy ra mất mát tài sản
Lắp đặt thiết bị đảm bảo thẩm mỹ, kỹ thuật</t>
  </si>
  <si>
    <t>Năng suất triển khai dự án</t>
  </si>
  <si>
    <t>So sánh thời gian triển khai dự án với thời gian của HĐ</t>
  </si>
  <si>
    <t>Xử lý hồ sơ dự án</t>
  </si>
  <si>
    <t>Hồ sơ hoàn thành đúng theo thời gian, kế hoạch của dự án
Đủ hồ sơ hoàn công, checklist, Biên bản nghiệm thu</t>
  </si>
  <si>
    <t>Phối hợp &amp; xử lý vấn đề</t>
  </si>
  <si>
    <t>Xử lý, khắc phục các vướng mắc, sai khác giữa Thiết kế và thực tế</t>
  </si>
  <si>
    <t>Đánh giá cải tiến</t>
  </si>
  <si>
    <t xml:space="preserve">Đưa ra ý kiến, đề xuất để cải thiện quy trình, cải tiến thiết kế </t>
  </si>
  <si>
    <t>An toàn, kỷ luật trên công trường</t>
  </si>
  <si>
    <t>Đảm bảo an toàn trong thi công
Không bị nhắc nhở, biên bản phạt từ BQLDA, CĐT</t>
  </si>
  <si>
    <t>Tiến độ triển khai</t>
  </si>
  <si>
    <t>Hoàn thành công việc đúng tiến độ</t>
  </si>
  <si>
    <t>% đầu việc hoàn thành đúng hạn</t>
  </si>
  <si>
    <t>Hoàn thành milestone dự án</t>
  </si>
  <si>
    <t>% milestone đúng kế hoạch</t>
  </si>
  <si>
    <t>Chủ động cảnh báo nguy cơ chậm tiến độ</t>
  </si>
  <si>
    <t>Số vấn đề được cảnh báo trước</t>
  </si>
  <si>
    <t>Thời gian phản hồi yêu cầu công việc</t>
  </si>
  <si>
    <t>Thời gian từ khi nhận yêu cầu đến phản hồi</t>
  </si>
  <si>
    <t>Hoàn thành công việc phát sinh</t>
  </si>
  <si>
    <t>% công việc phát sinh hoàn thành đúng cam kết</t>
  </si>
  <si>
    <t>KPI</t>
  </si>
  <si>
    <t>Cách đo</t>
  </si>
  <si>
    <t>Mục tiêu</t>
  </si>
  <si>
    <t>≥ 95%</t>
  </si>
  <si>
    <t>≥ 90%</t>
  </si>
  <si>
    <t>2 giờ</t>
  </si>
  <si>
    <t>Trọng số</t>
  </si>
  <si>
    <t>Điểm đạt được</t>
  </si>
  <si>
    <t>Điểm hoàn thành</t>
  </si>
  <si>
    <t>Tỷ lệ nghiệm thu đạt ngay lần đầu</t>
  </si>
  <si>
    <t>Tỷ lệ lỗi do cấu hình</t>
  </si>
  <si>
    <t>Số lỗi lặp lại sau khi đã xử lý</t>
  </si>
  <si>
    <t>Tỷ lệ hoàn thành checklist kỹ thuật</t>
  </si>
  <si>
    <t>Tỷ lệ cấu hình đúng theo approved design</t>
  </si>
  <si>
    <t>Tỷ lệ bàn giao hệ thống đầy đủ chức năng</t>
  </si>
  <si>
    <t>≤ 3%</t>
  </si>
  <si>
    <t>≤ 1 lỗi/tháng</t>
  </si>
  <si>
    <t>Kỹ thuật chấm</t>
  </si>
  <si>
    <t>Trưởng phòng chấm</t>
  </si>
  <si>
    <t>Tỷ lệ sử dụng nhân lực đúng kế hoạch</t>
  </si>
  <si>
    <t>OT phát sinh</t>
  </si>
  <si>
    <t>Tỷ lệ hoàn thành công việc ngay lần đầu</t>
  </si>
  <si>
    <t>Khả năng xử lý nhiều dự án</t>
  </si>
  <si>
    <t>Số project/work package phụ trách</t>
  </si>
  <si>
    <t>Thời gian triển khai thực tế / kế hoạch</t>
  </si>
  <si>
    <t>Số giờ OT / Tổng thời gian thực tế</t>
  </si>
  <si>
    <t>Báo cáo tuần</t>
  </si>
  <si>
    <t>Cập nhật serial/model thiết bị</t>
  </si>
  <si>
    <t>Tài liệu hướng dẫn vận hành</t>
  </si>
  <si>
    <t>Phản hồi vấn đề kỹ thuật</t>
  </si>
  <si>
    <t>Thời gian xử lý lỗi thông thường</t>
  </si>
  <si>
    <t>Escalate vấn đề đúng thời điểm</t>
  </si>
  <si>
    <t>Phối hợp với các bộ phận</t>
  </si>
  <si>
    <t>Khiếu nại do thái độ/phối hợp</t>
  </si>
  <si>
    <t>Hỗ trợ đồng đội khi cần</t>
  </si>
  <si>
    <t>≤ 4 giờ</t>
  </si>
  <si>
    <t>≤ 24 giờ</t>
  </si>
  <si>
    <t>Đạt</t>
  </si>
  <si>
    <t>Vi phạm an toàn lao động</t>
  </si>
  <si>
    <t>Tuân thủ quy định công trường</t>
  </si>
  <si>
    <t>Đi làm/đến công trường đúng giờ</t>
  </si>
  <si>
    <t>Bảo quản thiết bị &amp; dụng cụ</t>
  </si>
  <si>
    <t>Không mất/hư hỏng do chủ quan</t>
  </si>
  <si>
    <t>≥ 98%</t>
  </si>
  <si>
    <t>Có báo cáo/đề xuất điều chỉnh giải pháp thiết kế</t>
  </si>
  <si>
    <t>Đề xuất sản phẩm mới/ hãng mới cho các giải pháp cụ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</si>
</sst>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2"/>
      <color theme="1"/>
      <name val="Calibri"/>
      <family val="2"/>
      <charset val="1"/>
    </font>
    <font>
      <i/>
      <sz val="14"/>
      <color rgb="FF1F3864"/>
      <name val="Arial"/>
      <family val="2"/>
    </font>
    <font>
      <i/>
      <sz val="12"/>
      <color rgb="FF1F3864"/>
      <name val="Arial"/>
      <family val="2"/>
    </font>
    <font>
      <b/>
      <sz val="16"/>
      <color rgb="FF1F3864"/>
      <name val="Arial"/>
      <family val="2"/>
    </font>
    <font>
      <sz val="16"/>
      <color rgb="FF1F3864"/>
      <name val="Arial"/>
      <family val="2"/>
    </font>
    <font>
      <b/>
      <sz val="12"/>
      <color rgb="FF1F3864"/>
      <name val="Arial"/>
      <family val="2"/>
    </font>
    <font>
      <sz val="12"/>
      <color rgb="FF1F3864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Cambria"/>
      <family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1F3864"/>
        <bgColor rgb="FF333333"/>
      </patternFill>
    </fill>
    <fill>
      <patternFill patternType="solid">
        <fgColor rgb="FF2E4C87"/>
        <bgColor rgb="FF1F3864"/>
      </patternFill>
    </fill>
    <fill>
      <patternFill patternType="solid">
        <fgColor rgb="FFD9E2F3"/>
        <bgColor rgb="FFC9D7EF"/>
      </patternFill>
    </fill>
    <fill>
      <patternFill patternType="solid">
        <fgColor rgb="FFF7F9FC"/>
        <bgColor rgb="FFFFFFFF"/>
      </patternFill>
    </fill>
    <fill>
      <patternFill patternType="solid">
        <fgColor rgb="FFC9D7EF"/>
        <bgColor rgb="FFD9E2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9DB2D8"/>
      </right>
      <top style="medium">
        <color rgb="FF1F3864"/>
      </top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/>
      <bottom style="medium">
        <color rgb="FF1F3864"/>
      </bottom>
      <diagonal/>
    </border>
    <border>
      <left style="thin">
        <color rgb="FF9DB2D8"/>
      </left>
      <right style="thin">
        <color rgb="FF9DB2D8"/>
      </right>
      <top style="thin">
        <color rgb="FF9DB2D8"/>
      </top>
      <bottom style="thin">
        <color rgb="FF9DB2D8"/>
      </bottom>
      <diagonal/>
    </border>
    <border>
      <left style="thin">
        <color rgb="FF9DB2D8"/>
      </left>
      <right style="thin">
        <color rgb="FF9DB2D8"/>
      </right>
      <top style="medium">
        <color rgb="FF1F3864"/>
      </top>
      <bottom/>
      <diagonal/>
    </border>
    <border>
      <left/>
      <right style="thin">
        <color rgb="FF9DB2D8"/>
      </right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9" fontId="8" fillId="2" borderId="6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164" fontId="8" fillId="5" borderId="6" xfId="0" applyNumberFormat="1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165" fontId="10" fillId="5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9" fontId="8" fillId="6" borderId="6" xfId="0" applyNumberFormat="1" applyFont="1" applyFill="1" applyBorder="1" applyAlignment="1">
      <alignment horizontal="center" vertical="center" wrapText="1"/>
    </xf>
    <xf numFmtId="164" fontId="8" fillId="6" borderId="6" xfId="0" applyNumberFormat="1" applyFont="1" applyFill="1" applyBorder="1" applyAlignment="1">
      <alignment horizontal="center" vertical="center" wrapText="1"/>
    </xf>
    <xf numFmtId="9" fontId="10" fillId="6" borderId="6" xfId="0" applyNumberFormat="1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 vertical="center" wrapText="1"/>
    </xf>
    <xf numFmtId="164" fontId="8" fillId="7" borderId="6" xfId="0" applyNumberFormat="1" applyFont="1" applyFill="1" applyBorder="1" applyAlignment="1">
      <alignment horizontal="center" vertical="center" wrapText="1"/>
    </xf>
    <xf numFmtId="9" fontId="10" fillId="7" borderId="6" xfId="0" applyNumberFormat="1" applyFont="1" applyFill="1" applyBorder="1" applyAlignment="1">
      <alignment horizontal="center" vertical="center" wrapText="1"/>
    </xf>
    <xf numFmtId="165" fontId="10" fillId="7" borderId="6" xfId="0" applyNumberFormat="1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9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9" fillId="3" borderId="2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9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1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/>
    </xf>
    <xf numFmtId="0" fontId="13" fillId="0" borderId="0" xfId="0" applyFont="1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9FE9-0675-7843-855E-0EC5FAF9D5CB}">
  <sheetPr>
    <pageSetUpPr fitToPage="1"/>
  </sheetPr>
  <dimension ref="A1:L36"/>
  <sheetViews>
    <sheetView showGridLines="0" topLeftCell="A18" zoomScale="82" zoomScaleNormal="100" workbookViewId="0">
      <selection activeCell="I22" sqref="I22"/>
    </sheetView>
  </sheetViews>
  <sheetFormatPr defaultColWidth="8.6640625" defaultRowHeight="15.6" x14ac:dyDescent="0.3"/>
  <cols>
    <col min="1" max="1" width="3.33203125" style="1" customWidth="1"/>
    <col min="2" max="2" width="37.6640625" style="1" customWidth="1"/>
    <col min="3" max="3" width="30" style="1" customWidth="1"/>
    <col min="4" max="5" width="7.6640625" style="1" customWidth="1"/>
    <col min="6" max="6" width="16.77734375" style="1" customWidth="1"/>
    <col min="7" max="7" width="13.44140625" style="1" customWidth="1"/>
    <col min="8" max="8" width="11.6640625" style="1" customWidth="1"/>
    <col min="9" max="10" width="7.6640625" style="1" customWidth="1"/>
    <col min="11" max="11" width="11.109375" style="1" customWidth="1"/>
    <col min="12" max="12" width="19" style="1" customWidth="1"/>
    <col min="13" max="13" width="8.6640625" style="1" customWidth="1"/>
    <col min="14" max="16384" width="8.6640625" style="1"/>
  </cols>
  <sheetData>
    <row r="1" spans="1:12" ht="18" customHeight="1" x14ac:dyDescent="0.3">
      <c r="A1" s="35" t="s">
        <v>0</v>
      </c>
      <c r="B1" s="34"/>
      <c r="C1" s="34"/>
      <c r="D1" s="34"/>
      <c r="E1" s="34"/>
      <c r="F1" s="34"/>
      <c r="G1" s="35" t="s">
        <v>1</v>
      </c>
      <c r="H1" s="34"/>
      <c r="I1" s="34"/>
      <c r="J1" s="34"/>
      <c r="K1" s="34"/>
      <c r="L1" s="34"/>
    </row>
    <row r="2" spans="1:12" ht="18" customHeight="1" x14ac:dyDescent="0.3">
      <c r="A2" s="36" t="s">
        <v>2</v>
      </c>
      <c r="B2" s="34"/>
      <c r="C2" s="34"/>
      <c r="D2" s="34"/>
      <c r="E2" s="34"/>
      <c r="F2" s="34"/>
      <c r="G2" s="36" t="s">
        <v>3</v>
      </c>
      <c r="H2" s="34"/>
      <c r="I2" s="34"/>
      <c r="J2" s="34"/>
      <c r="K2" s="34"/>
      <c r="L2" s="34"/>
    </row>
    <row r="3" spans="1:12" x14ac:dyDescent="0.3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</row>
    <row r="4" spans="1:12" ht="19.5" customHeight="1" x14ac:dyDescent="0.4">
      <c r="A4" s="37" t="s">
        <v>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9.5" customHeight="1" x14ac:dyDescent="0.35">
      <c r="A5" s="33" t="s">
        <v>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3.05" customHeight="1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" customHeight="1" x14ac:dyDescent="0.3">
      <c r="A7" s="38" t="s">
        <v>6</v>
      </c>
      <c r="B7" s="34"/>
      <c r="C7" s="39"/>
      <c r="D7" s="40"/>
      <c r="E7" s="40"/>
      <c r="F7" s="38" t="s">
        <v>7</v>
      </c>
      <c r="G7" s="34"/>
      <c r="H7" s="39"/>
      <c r="I7" s="40"/>
      <c r="J7" s="40"/>
      <c r="K7" s="40"/>
      <c r="L7" s="40"/>
    </row>
    <row r="8" spans="1:12" ht="15.6" customHeight="1" x14ac:dyDescent="0.3">
      <c r="A8" s="38" t="s">
        <v>8</v>
      </c>
      <c r="B8" s="34"/>
      <c r="C8" s="39"/>
      <c r="D8" s="40"/>
      <c r="E8" s="40"/>
      <c r="F8" s="41" t="s">
        <v>9</v>
      </c>
      <c r="G8" s="42"/>
      <c r="H8" s="39"/>
      <c r="I8" s="40"/>
      <c r="J8" s="40"/>
      <c r="K8" s="40"/>
      <c r="L8" s="40"/>
    </row>
    <row r="9" spans="1:12" ht="33" customHeight="1" x14ac:dyDescent="0.3">
      <c r="A9" s="38" t="s">
        <v>10</v>
      </c>
      <c r="B9" s="34"/>
      <c r="C9" s="39" t="s">
        <v>11</v>
      </c>
      <c r="D9" s="40"/>
      <c r="E9" s="40"/>
      <c r="F9" s="41" t="s">
        <v>12</v>
      </c>
      <c r="G9" s="42"/>
      <c r="H9" s="39"/>
      <c r="I9" s="40"/>
      <c r="J9" s="40"/>
      <c r="K9" s="40"/>
      <c r="L9" s="40"/>
    </row>
    <row r="10" spans="1:12" ht="15" customHeight="1" x14ac:dyDescent="0.3">
      <c r="A10" s="38" t="s">
        <v>13</v>
      </c>
      <c r="B10" s="34"/>
      <c r="C10" s="39" t="s">
        <v>47</v>
      </c>
      <c r="D10" s="40"/>
      <c r="E10" s="40"/>
      <c r="F10" s="38" t="s">
        <v>14</v>
      </c>
      <c r="G10" s="34"/>
      <c r="H10" s="39"/>
      <c r="I10" s="40"/>
      <c r="J10" s="40"/>
      <c r="K10" s="40"/>
      <c r="L10" s="40"/>
    </row>
    <row r="11" spans="1:12" ht="15" customHeight="1" x14ac:dyDescent="0.3">
      <c r="A11" s="5"/>
      <c r="B11" s="5"/>
      <c r="C11" s="6"/>
      <c r="D11" s="6"/>
      <c r="E11" s="6"/>
      <c r="F11" s="5"/>
      <c r="G11" s="5"/>
      <c r="H11" s="6"/>
      <c r="I11" s="6"/>
      <c r="J11" s="6"/>
      <c r="K11" s="6"/>
      <c r="L11" s="6"/>
    </row>
    <row r="12" spans="1:12" ht="31.95" customHeight="1" thickBot="1" x14ac:dyDescent="0.35">
      <c r="A12" s="47" t="s">
        <v>15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31.95" customHeight="1" thickBot="1" x14ac:dyDescent="0.35">
      <c r="A13" s="48" t="s">
        <v>16</v>
      </c>
      <c r="B13" s="48" t="s">
        <v>17</v>
      </c>
      <c r="C13" s="48" t="s">
        <v>18</v>
      </c>
      <c r="D13" s="48" t="s">
        <v>19</v>
      </c>
      <c r="E13" s="48" t="s">
        <v>20</v>
      </c>
      <c r="F13" s="50" t="s">
        <v>21</v>
      </c>
      <c r="G13" s="44"/>
      <c r="H13" s="45"/>
      <c r="I13" s="50" t="s">
        <v>22</v>
      </c>
      <c r="J13" s="44"/>
      <c r="K13" s="45"/>
      <c r="L13" s="48" t="s">
        <v>23</v>
      </c>
    </row>
    <row r="14" spans="1:12" ht="85.2" customHeight="1" thickBot="1" x14ac:dyDescent="0.35">
      <c r="A14" s="49"/>
      <c r="B14" s="49"/>
      <c r="C14" s="49"/>
      <c r="D14" s="49"/>
      <c r="E14" s="49"/>
      <c r="F14" s="7" t="s">
        <v>24</v>
      </c>
      <c r="G14" s="7" t="s">
        <v>25</v>
      </c>
      <c r="H14" s="7" t="s">
        <v>26</v>
      </c>
      <c r="I14" s="7" t="s">
        <v>24</v>
      </c>
      <c r="J14" s="7" t="s">
        <v>25</v>
      </c>
      <c r="K14" s="7" t="s">
        <v>26</v>
      </c>
      <c r="L14" s="49"/>
    </row>
    <row r="15" spans="1:12" ht="31.95" customHeight="1" x14ac:dyDescent="0.3">
      <c r="A15" s="8">
        <v>1</v>
      </c>
      <c r="B15" s="9" t="s">
        <v>48</v>
      </c>
      <c r="C15" s="10" t="s">
        <v>27</v>
      </c>
      <c r="D15" s="11">
        <v>0.25</v>
      </c>
      <c r="E15" s="12">
        <v>10</v>
      </c>
      <c r="F15" s="12">
        <f>Sheet1!G2</f>
        <v>10</v>
      </c>
      <c r="G15" s="13">
        <f>IFERROR(F15/E15,0)</f>
        <v>1</v>
      </c>
      <c r="H15" s="14">
        <f>G15*D15</f>
        <v>0.25</v>
      </c>
      <c r="I15" s="15">
        <f>Sheet1!I2</f>
        <v>10</v>
      </c>
      <c r="J15" s="16">
        <f>IFERROR(I15/E15,0)</f>
        <v>1</v>
      </c>
      <c r="K15" s="17">
        <f>J15*D15</f>
        <v>0.25</v>
      </c>
      <c r="L15" s="10"/>
    </row>
    <row r="16" spans="1:12" ht="60" x14ac:dyDescent="0.3">
      <c r="A16" s="18">
        <v>2</v>
      </c>
      <c r="B16" s="19" t="s">
        <v>49</v>
      </c>
      <c r="C16" s="20" t="s">
        <v>50</v>
      </c>
      <c r="D16" s="21">
        <v>0.1</v>
      </c>
      <c r="E16" s="22">
        <v>10</v>
      </c>
      <c r="F16" s="22">
        <f>Sheet1!G19</f>
        <v>10</v>
      </c>
      <c r="G16" s="23">
        <f>IFERROR(F16/E16,0)</f>
        <v>1</v>
      </c>
      <c r="H16" s="24">
        <f>G16*D16</f>
        <v>0.1</v>
      </c>
      <c r="I16" s="25">
        <f>Sheet1!I10</f>
        <v>10</v>
      </c>
      <c r="J16" s="26">
        <f>IFERROR(I16/E16,0)</f>
        <v>1</v>
      </c>
      <c r="K16" s="27">
        <f>J16*D16</f>
        <v>0.1</v>
      </c>
      <c r="L16" s="20"/>
    </row>
    <row r="17" spans="1:12" ht="54.6" customHeight="1" x14ac:dyDescent="0.3">
      <c r="A17" s="8">
        <v>3</v>
      </c>
      <c r="B17" s="9" t="s">
        <v>51</v>
      </c>
      <c r="C17" s="10" t="s">
        <v>52</v>
      </c>
      <c r="D17" s="11">
        <v>0.05</v>
      </c>
      <c r="E17" s="12">
        <v>10</v>
      </c>
      <c r="F17" s="12">
        <f>Sheet1!G19</f>
        <v>10</v>
      </c>
      <c r="G17" s="13">
        <f>IFERROR(F17/E17,0)</f>
        <v>1</v>
      </c>
      <c r="H17" s="14">
        <f>G17*D17</f>
        <v>0.05</v>
      </c>
      <c r="I17" s="15">
        <f>Sheet1!I19</f>
        <v>10</v>
      </c>
      <c r="J17" s="16">
        <f>IFERROR(I17/E17,0)</f>
        <v>1</v>
      </c>
      <c r="K17" s="17">
        <f>J17*D17</f>
        <v>0.05</v>
      </c>
      <c r="L17" s="10"/>
    </row>
    <row r="18" spans="1:12" ht="90" x14ac:dyDescent="0.3">
      <c r="A18" s="18">
        <v>4</v>
      </c>
      <c r="B18" s="9" t="s">
        <v>53</v>
      </c>
      <c r="C18" s="10" t="s">
        <v>54</v>
      </c>
      <c r="D18" s="11">
        <v>0.05</v>
      </c>
      <c r="E18" s="12">
        <v>10</v>
      </c>
      <c r="F18" s="12">
        <f>Sheet1!G26</f>
        <v>10</v>
      </c>
      <c r="G18" s="13">
        <f>IFERROR(F18/E18,0)</f>
        <v>1</v>
      </c>
      <c r="H18" s="14">
        <f>G18*D18</f>
        <v>0.05</v>
      </c>
      <c r="I18" s="15">
        <f>Sheet1!I26</f>
        <v>10</v>
      </c>
      <c r="J18" s="16">
        <f>IFERROR(I18/E18,0)</f>
        <v>1</v>
      </c>
      <c r="K18" s="17">
        <f>J18*D18</f>
        <v>0.05</v>
      </c>
      <c r="L18" s="20"/>
    </row>
    <row r="19" spans="1:12" ht="45" x14ac:dyDescent="0.3">
      <c r="A19" s="18">
        <v>5</v>
      </c>
      <c r="B19" s="19" t="s">
        <v>55</v>
      </c>
      <c r="C19" s="20" t="s">
        <v>56</v>
      </c>
      <c r="D19" s="21">
        <v>0.15</v>
      </c>
      <c r="E19" s="12">
        <v>10</v>
      </c>
      <c r="F19" s="12">
        <f>Sheet1!G32</f>
        <v>10</v>
      </c>
      <c r="G19" s="13">
        <f>IFERROR(F19/E19,0)</f>
        <v>1</v>
      </c>
      <c r="H19" s="14">
        <f>G19*D19</f>
        <v>0.15</v>
      </c>
      <c r="I19" s="15">
        <f>Sheet1!I32</f>
        <v>10</v>
      </c>
      <c r="J19" s="16">
        <f>IFERROR(I19/E19,0)</f>
        <v>1</v>
      </c>
      <c r="K19" s="17">
        <f>J19*D19</f>
        <v>0.15</v>
      </c>
      <c r="L19" s="20"/>
    </row>
    <row r="20" spans="1:12" ht="60" x14ac:dyDescent="0.3">
      <c r="A20" s="18">
        <v>6</v>
      </c>
      <c r="B20" s="9" t="s">
        <v>59</v>
      </c>
      <c r="C20" s="10" t="s">
        <v>60</v>
      </c>
      <c r="D20" s="11">
        <v>0.05</v>
      </c>
      <c r="E20" s="12">
        <v>10</v>
      </c>
      <c r="F20" s="12">
        <f>Sheet1!G41</f>
        <v>10</v>
      </c>
      <c r="G20" s="13">
        <f>IFERROR(F20/E20,0)</f>
        <v>1</v>
      </c>
      <c r="H20" s="14">
        <f>G20*D20</f>
        <v>0.05</v>
      </c>
      <c r="I20" s="15">
        <f>Sheet1!I41</f>
        <v>10</v>
      </c>
      <c r="J20" s="16">
        <f>IFERROR(I20/E20,0)</f>
        <v>1</v>
      </c>
      <c r="K20" s="17">
        <f>J20*D20</f>
        <v>0.05</v>
      </c>
      <c r="L20" s="10"/>
    </row>
    <row r="21" spans="1:12" ht="31.95" customHeight="1" thickBot="1" x14ac:dyDescent="0.35">
      <c r="A21" s="18">
        <v>7</v>
      </c>
      <c r="B21" s="19" t="s">
        <v>57</v>
      </c>
      <c r="C21" s="20" t="s">
        <v>58</v>
      </c>
      <c r="D21" s="21">
        <v>0.05</v>
      </c>
      <c r="E21" s="12">
        <v>10</v>
      </c>
      <c r="F21" s="12">
        <f>Sheet1!G48</f>
        <v>10</v>
      </c>
      <c r="G21" s="13">
        <f>IFERROR(F21/E21,0)</f>
        <v>1</v>
      </c>
      <c r="H21" s="14">
        <f>G21*D21</f>
        <v>0.05</v>
      </c>
      <c r="I21" s="15">
        <f>Sheet1!I48</f>
        <v>10</v>
      </c>
      <c r="J21" s="16">
        <f>IFERROR(I21/E21,0)</f>
        <v>1</v>
      </c>
      <c r="K21" s="17">
        <f>J21*D21</f>
        <v>0.05</v>
      </c>
      <c r="L21" s="20"/>
    </row>
    <row r="22" spans="1:12" ht="31.95" customHeight="1" thickBot="1" x14ac:dyDescent="0.35">
      <c r="A22" s="51" t="s">
        <v>28</v>
      </c>
      <c r="B22" s="44"/>
      <c r="C22" s="45"/>
      <c r="D22" s="28">
        <f>SUM(D15:D21)</f>
        <v>0.70000000000000007</v>
      </c>
      <c r="E22" s="52"/>
      <c r="F22" s="45"/>
      <c r="G22" s="29"/>
      <c r="H22" s="30">
        <f>SUM(H15:H21)</f>
        <v>0.70000000000000007</v>
      </c>
      <c r="I22" s="29"/>
      <c r="J22" s="29"/>
      <c r="K22" s="30">
        <f>SUM(K15:K21)</f>
        <v>0.70000000000000007</v>
      </c>
      <c r="L22" s="29"/>
    </row>
    <row r="23" spans="1:12" ht="31.95" customHeight="1" x14ac:dyDescent="0.3">
      <c r="A23" s="47" t="s">
        <v>29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ht="31.95" customHeight="1" x14ac:dyDescent="0.3">
      <c r="A24" s="8">
        <v>1</v>
      </c>
      <c r="B24" s="9" t="s">
        <v>30</v>
      </c>
      <c r="C24" s="10" t="s">
        <v>31</v>
      </c>
      <c r="D24" s="11">
        <v>0.1</v>
      </c>
      <c r="E24" s="12">
        <v>3</v>
      </c>
      <c r="F24" s="12"/>
      <c r="G24" s="13">
        <f>IFERROR(F24/E24,0)</f>
        <v>0</v>
      </c>
      <c r="H24" s="14">
        <f>G24*D24</f>
        <v>0</v>
      </c>
      <c r="I24" s="15"/>
      <c r="J24" s="16">
        <f>IFERROR(I24/E24,0)</f>
        <v>0</v>
      </c>
      <c r="K24" s="17">
        <f>J24*D24</f>
        <v>0</v>
      </c>
      <c r="L24" s="10"/>
    </row>
    <row r="25" spans="1:12" ht="31.95" customHeight="1" x14ac:dyDescent="0.3">
      <c r="A25" s="18">
        <v>2</v>
      </c>
      <c r="B25" s="19" t="s">
        <v>32</v>
      </c>
      <c r="C25" s="20"/>
      <c r="D25" s="21">
        <v>0.1</v>
      </c>
      <c r="E25" s="22">
        <v>3</v>
      </c>
      <c r="F25" s="22"/>
      <c r="G25" s="23">
        <f>IFERROR(F25/E25,0)</f>
        <v>0</v>
      </c>
      <c r="H25" s="24">
        <f>G25*D25</f>
        <v>0</v>
      </c>
      <c r="I25" s="25"/>
      <c r="J25" s="26">
        <f>IFERROR(I25/E25,0)</f>
        <v>0</v>
      </c>
      <c r="K25" s="27">
        <f>J25*D25</f>
        <v>0</v>
      </c>
      <c r="L25" s="20"/>
    </row>
    <row r="26" spans="1:12" ht="31.95" customHeight="1" thickBot="1" x14ac:dyDescent="0.35">
      <c r="A26" s="8">
        <v>3</v>
      </c>
      <c r="B26" s="9" t="s">
        <v>33</v>
      </c>
      <c r="C26" s="10"/>
      <c r="D26" s="11">
        <v>0.1</v>
      </c>
      <c r="E26" s="12">
        <v>3</v>
      </c>
      <c r="F26" s="12"/>
      <c r="G26" s="13">
        <f>IFERROR(F26/E26,0)</f>
        <v>0</v>
      </c>
      <c r="H26" s="14">
        <f>G26*D26</f>
        <v>0</v>
      </c>
      <c r="I26" s="15"/>
      <c r="J26" s="16">
        <f>IFERROR(I26/E26,0)</f>
        <v>0</v>
      </c>
      <c r="K26" s="17">
        <f>J26*D26</f>
        <v>0</v>
      </c>
      <c r="L26" s="10"/>
    </row>
    <row r="27" spans="1:12" ht="31.95" customHeight="1" thickBot="1" x14ac:dyDescent="0.35">
      <c r="A27" s="51" t="s">
        <v>34</v>
      </c>
      <c r="B27" s="44"/>
      <c r="C27" s="45"/>
      <c r="D27" s="28">
        <f>SUM(D24:D26)</f>
        <v>0.30000000000000004</v>
      </c>
      <c r="E27" s="52"/>
      <c r="F27" s="45"/>
      <c r="G27" s="29"/>
      <c r="H27" s="30">
        <f>SUM(H24:H26)</f>
        <v>0</v>
      </c>
      <c r="I27" s="29"/>
      <c r="J27" s="29"/>
      <c r="K27" s="30">
        <f>SUM(K24:K26)</f>
        <v>0</v>
      </c>
      <c r="L27" s="29"/>
    </row>
    <row r="28" spans="1:12" ht="31.95" customHeight="1" thickBot="1" x14ac:dyDescent="0.35">
      <c r="A28" s="43" t="str">
        <f>"TỔNG ĐIỂM KPI HOÀN THÀNH CÔNG VIỆC (kiểm tra tổng trọng số = "&amp;TEXT(D22+D27,"0%")&amp;")"</f>
        <v>TỔNG ĐIỂM KPI HOÀN THÀNH CÔNG VIỆC (kiểm tra tổng trọng số = 100%)</v>
      </c>
      <c r="B28" s="44"/>
      <c r="C28" s="44"/>
      <c r="D28" s="44"/>
      <c r="E28" s="45"/>
      <c r="F28" s="46" t="s">
        <v>35</v>
      </c>
      <c r="G28" s="45"/>
      <c r="H28" s="31">
        <f>H22+H27</f>
        <v>0.70000000000000007</v>
      </c>
      <c r="I28" s="46" t="s">
        <v>36</v>
      </c>
      <c r="J28" s="45"/>
      <c r="K28" s="30">
        <f>K22+K27</f>
        <v>0.70000000000000007</v>
      </c>
      <c r="L28" s="7"/>
    </row>
    <row r="29" spans="1:12" ht="31.95" customHeight="1" thickBot="1" x14ac:dyDescent="0.35">
      <c r="A29" s="53" t="s">
        <v>37</v>
      </c>
      <c r="B29" s="44"/>
      <c r="C29" s="44"/>
      <c r="D29" s="44"/>
      <c r="E29" s="45"/>
      <c r="F29" s="52" t="str">
        <f>IF(K28&gt;1,"VƯỢT CHỈ TIÊU",IF(K28&gt;=0.9,"HOÀN THÀNH",IF(K28&gt;=0.8,"CẦN CẢI THIỆN","CHƯA ĐẠT")))</f>
        <v>CHƯA ĐẠT</v>
      </c>
      <c r="G29" s="44"/>
      <c r="H29" s="44"/>
      <c r="I29" s="44"/>
      <c r="J29" s="44"/>
      <c r="K29" s="44"/>
      <c r="L29" s="45"/>
    </row>
    <row r="30" spans="1:12" ht="31.95" customHeight="1" x14ac:dyDescent="0.3">
      <c r="A30" s="54" t="s">
        <v>38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ht="31.95" customHeight="1" thickBot="1" x14ac:dyDescent="0.35">
      <c r="A31" s="55" t="s">
        <v>39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1:12" ht="31.95" customHeight="1" x14ac:dyDescent="0.3">
      <c r="A32" s="56" t="s">
        <v>40</v>
      </c>
      <c r="B32" s="57"/>
      <c r="C32" s="56" t="s">
        <v>41</v>
      </c>
      <c r="D32" s="57"/>
      <c r="E32" s="56" t="s">
        <v>42</v>
      </c>
      <c r="F32" s="58"/>
      <c r="G32" s="58"/>
      <c r="H32" s="58"/>
      <c r="I32" s="57"/>
      <c r="J32" s="56" t="s">
        <v>43</v>
      </c>
      <c r="K32" s="58"/>
      <c r="L32" s="57"/>
    </row>
    <row r="33" spans="1:12" ht="31.95" customHeight="1" x14ac:dyDescent="0.3">
      <c r="A33" s="60" t="s">
        <v>44</v>
      </c>
      <c r="B33" s="61"/>
      <c r="C33" s="60" t="s">
        <v>44</v>
      </c>
      <c r="D33" s="61"/>
      <c r="E33" s="60" t="s">
        <v>44</v>
      </c>
      <c r="F33" s="61"/>
      <c r="G33" s="61"/>
      <c r="H33" s="61"/>
      <c r="I33" s="61"/>
      <c r="J33" s="60" t="s">
        <v>45</v>
      </c>
      <c r="K33" s="61"/>
      <c r="L33" s="61"/>
    </row>
    <row r="34" spans="1:12" ht="36" customHeight="1" x14ac:dyDescent="0.3">
      <c r="A34" s="62"/>
      <c r="B34" s="34"/>
      <c r="C34" s="34"/>
      <c r="D34" s="62"/>
      <c r="E34" s="34"/>
      <c r="F34" s="34"/>
      <c r="G34" s="62"/>
      <c r="H34" s="34"/>
      <c r="I34" s="34"/>
      <c r="J34" s="62"/>
      <c r="K34" s="34"/>
      <c r="L34" s="34"/>
    </row>
    <row r="35" spans="1:12" ht="36" customHeigh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12.75" customHeight="1" x14ac:dyDescent="0.3">
      <c r="A36" s="59" t="s">
        <v>46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</sheetData>
  <mergeCells count="56">
    <mergeCell ref="A32:B32"/>
    <mergeCell ref="C32:D32"/>
    <mergeCell ref="E32:I32"/>
    <mergeCell ref="J32:L32"/>
    <mergeCell ref="A36:L36"/>
    <mergeCell ref="A33:B33"/>
    <mergeCell ref="C33:D33"/>
    <mergeCell ref="E33:I33"/>
    <mergeCell ref="J33:L33"/>
    <mergeCell ref="A34:C34"/>
    <mergeCell ref="D34:F34"/>
    <mergeCell ref="G34:I34"/>
    <mergeCell ref="J34:L34"/>
    <mergeCell ref="E27:F27"/>
    <mergeCell ref="A29:E29"/>
    <mergeCell ref="F29:L29"/>
    <mergeCell ref="A30:L30"/>
    <mergeCell ref="A31:L31"/>
    <mergeCell ref="A28:E28"/>
    <mergeCell ref="F28:G28"/>
    <mergeCell ref="I28:J28"/>
    <mergeCell ref="A12:L12"/>
    <mergeCell ref="A13:A14"/>
    <mergeCell ref="B13:B14"/>
    <mergeCell ref="C13:C14"/>
    <mergeCell ref="D13:D14"/>
    <mergeCell ref="E13:E14"/>
    <mergeCell ref="F13:H13"/>
    <mergeCell ref="I13:K13"/>
    <mergeCell ref="L13:L14"/>
    <mergeCell ref="A22:C22"/>
    <mergeCell ref="E22:F22"/>
    <mergeCell ref="A23:L23"/>
    <mergeCell ref="A27:C27"/>
    <mergeCell ref="A9:B9"/>
    <mergeCell ref="C9:E9"/>
    <mergeCell ref="F9:G9"/>
    <mergeCell ref="H9:L9"/>
    <mergeCell ref="A10:B10"/>
    <mergeCell ref="C10:E10"/>
    <mergeCell ref="F10:G10"/>
    <mergeCell ref="H10:L10"/>
    <mergeCell ref="A7:B7"/>
    <mergeCell ref="C7:E7"/>
    <mergeCell ref="F7:G7"/>
    <mergeCell ref="H7:L7"/>
    <mergeCell ref="A8:B8"/>
    <mergeCell ref="C8:E8"/>
    <mergeCell ref="F8:G8"/>
    <mergeCell ref="H8:L8"/>
    <mergeCell ref="A5:L5"/>
    <mergeCell ref="A1:F1"/>
    <mergeCell ref="G1:L1"/>
    <mergeCell ref="A2:F2"/>
    <mergeCell ref="G2:L2"/>
    <mergeCell ref="A4:L4"/>
  </mergeCells>
  <pageMargins left="0.25" right="0.25" top="0.3" bottom="0.3" header="0.511811023622047" footer="0.511811023622047"/>
  <pageSetup paperSize="9" scale="57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E48F-EAF8-46D8-8032-F622B00D1A1F}">
  <dimension ref="B1:I51"/>
  <sheetViews>
    <sheetView tabSelected="1" workbookViewId="0">
      <selection sqref="A1:XFD1048576"/>
    </sheetView>
  </sheetViews>
  <sheetFormatPr defaultRowHeight="14.4" x14ac:dyDescent="0.3"/>
  <cols>
    <col min="2" max="2" width="35" bestFit="1" customWidth="1"/>
    <col min="3" max="3" width="40" bestFit="1" customWidth="1"/>
    <col min="4" max="4" width="11.21875" bestFit="1" customWidth="1"/>
    <col min="6" max="6" width="15" bestFit="1" customWidth="1"/>
    <col min="7" max="7" width="13.33203125" bestFit="1" customWidth="1"/>
    <col min="8" max="8" width="15" bestFit="1" customWidth="1"/>
    <col min="9" max="9" width="13.33203125" bestFit="1" customWidth="1"/>
  </cols>
  <sheetData>
    <row r="1" spans="2:9" x14ac:dyDescent="0.3">
      <c r="F1" s="66" t="s">
        <v>89</v>
      </c>
      <c r="G1" s="66"/>
      <c r="H1" s="66" t="s">
        <v>90</v>
      </c>
      <c r="I1" s="66"/>
    </row>
    <row r="2" spans="2:9" x14ac:dyDescent="0.3">
      <c r="B2" s="65" t="s">
        <v>61</v>
      </c>
      <c r="G2">
        <f>SUM(G4:G8)</f>
        <v>10</v>
      </c>
      <c r="I2">
        <f>SUM(I4:I8)</f>
        <v>10</v>
      </c>
    </row>
    <row r="3" spans="2:9" x14ac:dyDescent="0.3">
      <c r="B3" s="65" t="s">
        <v>72</v>
      </c>
      <c r="C3" s="65" t="s">
        <v>73</v>
      </c>
      <c r="D3" s="65" t="s">
        <v>74</v>
      </c>
      <c r="E3" s="65" t="s">
        <v>78</v>
      </c>
      <c r="F3" s="65" t="s">
        <v>80</v>
      </c>
      <c r="G3" s="65" t="s">
        <v>79</v>
      </c>
      <c r="H3" s="65" t="s">
        <v>80</v>
      </c>
      <c r="I3" s="65" t="s">
        <v>79</v>
      </c>
    </row>
    <row r="4" spans="2:9" x14ac:dyDescent="0.3">
      <c r="B4" t="s">
        <v>62</v>
      </c>
      <c r="C4" t="s">
        <v>63</v>
      </c>
      <c r="D4" t="s">
        <v>75</v>
      </c>
      <c r="E4" s="63">
        <v>0.2</v>
      </c>
      <c r="F4">
        <v>10</v>
      </c>
      <c r="G4">
        <f>E4*F4</f>
        <v>2</v>
      </c>
      <c r="H4">
        <v>10</v>
      </c>
      <c r="I4">
        <f>E4*H4</f>
        <v>2</v>
      </c>
    </row>
    <row r="5" spans="2:9" x14ac:dyDescent="0.3">
      <c r="B5" t="s">
        <v>64</v>
      </c>
      <c r="C5" t="s">
        <v>65</v>
      </c>
      <c r="D5" t="s">
        <v>75</v>
      </c>
      <c r="E5" s="63">
        <v>0.2</v>
      </c>
      <c r="F5">
        <v>10</v>
      </c>
      <c r="G5">
        <f t="shared" ref="G5:G8" si="0">E5*F5</f>
        <v>2</v>
      </c>
      <c r="H5">
        <v>10</v>
      </c>
      <c r="I5">
        <f t="shared" ref="I5:I8" si="1">E5*H5</f>
        <v>2</v>
      </c>
    </row>
    <row r="6" spans="2:9" x14ac:dyDescent="0.3">
      <c r="B6" t="s">
        <v>66</v>
      </c>
      <c r="C6" t="s">
        <v>67</v>
      </c>
      <c r="D6" s="64">
        <v>1</v>
      </c>
      <c r="E6" s="63">
        <v>0.2</v>
      </c>
      <c r="F6">
        <v>10</v>
      </c>
      <c r="G6">
        <f t="shared" si="0"/>
        <v>2</v>
      </c>
      <c r="H6">
        <v>10</v>
      </c>
      <c r="I6">
        <f t="shared" si="1"/>
        <v>2</v>
      </c>
    </row>
    <row r="7" spans="2:9" x14ac:dyDescent="0.3">
      <c r="B7" t="s">
        <v>68</v>
      </c>
      <c r="C7" t="s">
        <v>69</v>
      </c>
      <c r="D7" t="s">
        <v>77</v>
      </c>
      <c r="E7" s="63">
        <v>0.2</v>
      </c>
      <c r="F7">
        <v>10</v>
      </c>
      <c r="G7">
        <f t="shared" si="0"/>
        <v>2</v>
      </c>
      <c r="H7">
        <v>10</v>
      </c>
      <c r="I7">
        <f t="shared" si="1"/>
        <v>2</v>
      </c>
    </row>
    <row r="8" spans="2:9" x14ac:dyDescent="0.3">
      <c r="B8" t="s">
        <v>70</v>
      </c>
      <c r="C8" t="s">
        <v>71</v>
      </c>
      <c r="D8" t="s">
        <v>76</v>
      </c>
      <c r="E8" s="63">
        <v>0.2</v>
      </c>
      <c r="F8">
        <v>10</v>
      </c>
      <c r="G8">
        <f t="shared" si="0"/>
        <v>2</v>
      </c>
      <c r="H8">
        <v>10</v>
      </c>
      <c r="I8">
        <f t="shared" si="1"/>
        <v>2</v>
      </c>
    </row>
    <row r="10" spans="2:9" x14ac:dyDescent="0.3">
      <c r="B10" s="65" t="s">
        <v>49</v>
      </c>
      <c r="G10">
        <f>SUM(G12:G17)</f>
        <v>10</v>
      </c>
      <c r="I10">
        <f>SUM(I12:I17)</f>
        <v>10</v>
      </c>
    </row>
    <row r="11" spans="2:9" x14ac:dyDescent="0.3">
      <c r="B11" s="65" t="s">
        <v>72</v>
      </c>
      <c r="C11" s="65" t="s">
        <v>73</v>
      </c>
      <c r="D11" s="65" t="s">
        <v>74</v>
      </c>
      <c r="E11" s="65" t="s">
        <v>78</v>
      </c>
      <c r="F11" s="65" t="s">
        <v>80</v>
      </c>
      <c r="G11" s="65" t="s">
        <v>79</v>
      </c>
      <c r="H11" s="65" t="s">
        <v>80</v>
      </c>
      <c r="I11" s="65" t="s">
        <v>79</v>
      </c>
    </row>
    <row r="12" spans="2:9" x14ac:dyDescent="0.3">
      <c r="B12" t="s">
        <v>81</v>
      </c>
      <c r="D12" t="s">
        <v>75</v>
      </c>
      <c r="E12" s="63">
        <v>0.2</v>
      </c>
      <c r="F12">
        <v>10</v>
      </c>
      <c r="G12">
        <f t="shared" ref="G12:G17" si="2">E12*F12</f>
        <v>2</v>
      </c>
      <c r="H12">
        <v>10</v>
      </c>
      <c r="I12">
        <f t="shared" ref="I12:I17" si="3">E12*H12</f>
        <v>2</v>
      </c>
    </row>
    <row r="13" spans="2:9" x14ac:dyDescent="0.3">
      <c r="B13" t="s">
        <v>82</v>
      </c>
      <c r="D13" t="s">
        <v>87</v>
      </c>
      <c r="E13" s="63">
        <v>0.2</v>
      </c>
      <c r="F13">
        <v>10</v>
      </c>
      <c r="G13">
        <f t="shared" si="2"/>
        <v>2</v>
      </c>
      <c r="H13">
        <v>10</v>
      </c>
      <c r="I13">
        <f t="shared" si="3"/>
        <v>2</v>
      </c>
    </row>
    <row r="14" spans="2:9" x14ac:dyDescent="0.3">
      <c r="B14" t="s">
        <v>83</v>
      </c>
      <c r="D14" t="s">
        <v>88</v>
      </c>
      <c r="E14" s="63">
        <v>0.2</v>
      </c>
      <c r="F14">
        <v>10</v>
      </c>
      <c r="G14">
        <f t="shared" si="2"/>
        <v>2</v>
      </c>
      <c r="H14">
        <v>10</v>
      </c>
      <c r="I14">
        <f t="shared" si="3"/>
        <v>2</v>
      </c>
    </row>
    <row r="15" spans="2:9" x14ac:dyDescent="0.3">
      <c r="B15" t="s">
        <v>84</v>
      </c>
      <c r="D15" s="64">
        <v>1</v>
      </c>
      <c r="E15" s="63">
        <v>0.2</v>
      </c>
      <c r="F15">
        <v>10</v>
      </c>
      <c r="G15">
        <f t="shared" si="2"/>
        <v>2</v>
      </c>
      <c r="H15">
        <v>10</v>
      </c>
      <c r="I15">
        <f t="shared" si="3"/>
        <v>2</v>
      </c>
    </row>
    <row r="16" spans="2:9" x14ac:dyDescent="0.3">
      <c r="B16" t="s">
        <v>85</v>
      </c>
      <c r="D16" t="s">
        <v>75</v>
      </c>
      <c r="E16" s="63">
        <v>0.1</v>
      </c>
      <c r="F16">
        <v>10</v>
      </c>
      <c r="G16">
        <f t="shared" si="2"/>
        <v>1</v>
      </c>
      <c r="H16">
        <v>10</v>
      </c>
      <c r="I16">
        <f t="shared" si="3"/>
        <v>1</v>
      </c>
    </row>
    <row r="17" spans="2:9" x14ac:dyDescent="0.3">
      <c r="B17" t="s">
        <v>86</v>
      </c>
      <c r="D17" t="s">
        <v>75</v>
      </c>
      <c r="E17" s="63">
        <v>0.1</v>
      </c>
      <c r="F17">
        <v>10</v>
      </c>
      <c r="G17">
        <f t="shared" si="2"/>
        <v>1</v>
      </c>
      <c r="H17">
        <v>10</v>
      </c>
      <c r="I17">
        <f t="shared" si="3"/>
        <v>1</v>
      </c>
    </row>
    <row r="19" spans="2:9" x14ac:dyDescent="0.3">
      <c r="B19" s="65" t="s">
        <v>51</v>
      </c>
      <c r="G19">
        <f>SUM(G21:G24)</f>
        <v>10</v>
      </c>
      <c r="I19">
        <f>SUM(I21:I24)</f>
        <v>10</v>
      </c>
    </row>
    <row r="20" spans="2:9" x14ac:dyDescent="0.3">
      <c r="B20" s="65" t="s">
        <v>72</v>
      </c>
      <c r="C20" s="65" t="s">
        <v>73</v>
      </c>
      <c r="D20" s="65" t="s">
        <v>74</v>
      </c>
      <c r="E20" s="65" t="s">
        <v>78</v>
      </c>
      <c r="F20" s="65" t="s">
        <v>80</v>
      </c>
      <c r="G20" s="65" t="s">
        <v>79</v>
      </c>
      <c r="H20" s="65" t="s">
        <v>80</v>
      </c>
      <c r="I20" s="65" t="s">
        <v>79</v>
      </c>
    </row>
    <row r="21" spans="2:9" x14ac:dyDescent="0.3">
      <c r="B21" t="s">
        <v>91</v>
      </c>
      <c r="C21" t="s">
        <v>96</v>
      </c>
      <c r="D21" s="64">
        <v>1</v>
      </c>
      <c r="E21" s="67">
        <v>0.25</v>
      </c>
      <c r="F21">
        <v>10</v>
      </c>
      <c r="G21">
        <f t="shared" ref="G21:G24" si="4">E21*F21</f>
        <v>2.5</v>
      </c>
      <c r="H21">
        <v>10</v>
      </c>
      <c r="I21">
        <f t="shared" ref="I21:I24" si="5">E21*H21</f>
        <v>2.5</v>
      </c>
    </row>
    <row r="22" spans="2:9" x14ac:dyDescent="0.3">
      <c r="B22" t="s">
        <v>92</v>
      </c>
      <c r="C22" t="s">
        <v>97</v>
      </c>
      <c r="D22" s="64">
        <v>0.03</v>
      </c>
      <c r="E22" s="67">
        <v>0.25</v>
      </c>
      <c r="F22">
        <v>10</v>
      </c>
      <c r="G22">
        <f t="shared" si="4"/>
        <v>2.5</v>
      </c>
      <c r="H22">
        <v>10</v>
      </c>
      <c r="I22">
        <f t="shared" si="5"/>
        <v>2.5</v>
      </c>
    </row>
    <row r="23" spans="2:9" x14ac:dyDescent="0.3">
      <c r="B23" t="s">
        <v>93</v>
      </c>
      <c r="D23" s="64">
        <v>1</v>
      </c>
      <c r="E23" s="67">
        <v>0.25</v>
      </c>
      <c r="F23">
        <v>10</v>
      </c>
      <c r="G23">
        <f t="shared" si="4"/>
        <v>2.5</v>
      </c>
      <c r="H23">
        <v>10</v>
      </c>
      <c r="I23">
        <f t="shared" si="5"/>
        <v>2.5</v>
      </c>
    </row>
    <row r="24" spans="2:9" x14ac:dyDescent="0.3">
      <c r="B24" t="s">
        <v>94</v>
      </c>
      <c r="C24" t="s">
        <v>95</v>
      </c>
      <c r="D24" s="68">
        <v>2</v>
      </c>
      <c r="E24" s="67">
        <v>0.25</v>
      </c>
      <c r="F24">
        <v>10</v>
      </c>
      <c r="G24">
        <f t="shared" si="4"/>
        <v>2.5</v>
      </c>
      <c r="H24">
        <v>10</v>
      </c>
      <c r="I24">
        <f t="shared" si="5"/>
        <v>2.5</v>
      </c>
    </row>
    <row r="26" spans="2:9" x14ac:dyDescent="0.3">
      <c r="B26" s="65" t="s">
        <v>53</v>
      </c>
      <c r="G26">
        <f>SUM(G28:G30)</f>
        <v>10</v>
      </c>
      <c r="I26">
        <f>SUM(I28:I30)</f>
        <v>10</v>
      </c>
    </row>
    <row r="27" spans="2:9" x14ac:dyDescent="0.3">
      <c r="B27" s="65" t="s">
        <v>72</v>
      </c>
      <c r="C27" s="65" t="s">
        <v>73</v>
      </c>
      <c r="D27" s="65" t="s">
        <v>74</v>
      </c>
      <c r="E27" s="65" t="s">
        <v>78</v>
      </c>
      <c r="F27" s="65" t="s">
        <v>80</v>
      </c>
      <c r="G27" s="65" t="s">
        <v>79</v>
      </c>
      <c r="H27" s="65" t="s">
        <v>80</v>
      </c>
      <c r="I27" s="65" t="s">
        <v>79</v>
      </c>
    </row>
    <row r="28" spans="2:9" x14ac:dyDescent="0.3">
      <c r="B28" t="s">
        <v>98</v>
      </c>
      <c r="D28" s="64">
        <v>1</v>
      </c>
      <c r="E28" s="67">
        <v>0.3</v>
      </c>
      <c r="F28">
        <v>10</v>
      </c>
      <c r="G28">
        <f t="shared" ref="G28:G30" si="6">E28*F28</f>
        <v>3</v>
      </c>
      <c r="H28">
        <v>10</v>
      </c>
      <c r="I28">
        <f t="shared" ref="I28:I30" si="7">E28*H28</f>
        <v>3</v>
      </c>
    </row>
    <row r="29" spans="2:9" x14ac:dyDescent="0.3">
      <c r="B29" t="s">
        <v>99</v>
      </c>
      <c r="D29" s="64">
        <v>1</v>
      </c>
      <c r="E29" s="67">
        <v>0.3</v>
      </c>
      <c r="F29">
        <v>10</v>
      </c>
      <c r="G29">
        <f t="shared" si="6"/>
        <v>3</v>
      </c>
      <c r="H29">
        <v>10</v>
      </c>
      <c r="I29">
        <f t="shared" si="7"/>
        <v>3</v>
      </c>
    </row>
    <row r="30" spans="2:9" x14ac:dyDescent="0.3">
      <c r="B30" t="s">
        <v>100</v>
      </c>
      <c r="D30" s="64">
        <v>1</v>
      </c>
      <c r="E30" s="67">
        <v>0.4</v>
      </c>
      <c r="F30">
        <v>10</v>
      </c>
      <c r="G30">
        <f t="shared" si="6"/>
        <v>4</v>
      </c>
      <c r="H30">
        <v>10</v>
      </c>
      <c r="I30">
        <f t="shared" si="7"/>
        <v>4</v>
      </c>
    </row>
    <row r="32" spans="2:9" x14ac:dyDescent="0.3">
      <c r="B32" s="65" t="s">
        <v>55</v>
      </c>
      <c r="G32">
        <f>SUM(G34:G39)</f>
        <v>10</v>
      </c>
      <c r="I32">
        <f>SUM(I34:I39)</f>
        <v>10</v>
      </c>
    </row>
    <row r="33" spans="2:9" x14ac:dyDescent="0.3">
      <c r="B33" s="65" t="s">
        <v>72</v>
      </c>
      <c r="C33" s="65" t="s">
        <v>73</v>
      </c>
      <c r="D33" s="65" t="s">
        <v>74</v>
      </c>
      <c r="E33" s="65" t="s">
        <v>78</v>
      </c>
      <c r="F33" s="65" t="s">
        <v>80</v>
      </c>
      <c r="G33" s="65" t="s">
        <v>79</v>
      </c>
      <c r="H33" s="65" t="s">
        <v>80</v>
      </c>
      <c r="I33" s="65" t="s">
        <v>79</v>
      </c>
    </row>
    <row r="34" spans="2:9" x14ac:dyDescent="0.3">
      <c r="B34" t="s">
        <v>101</v>
      </c>
      <c r="D34" t="s">
        <v>107</v>
      </c>
      <c r="E34" s="67">
        <v>0.2</v>
      </c>
      <c r="F34">
        <v>10</v>
      </c>
      <c r="G34">
        <f>E34*F34</f>
        <v>2</v>
      </c>
      <c r="H34">
        <v>10</v>
      </c>
      <c r="I34">
        <f t="shared" ref="I34:I39" si="8">E34*H34</f>
        <v>2</v>
      </c>
    </row>
    <row r="35" spans="2:9" x14ac:dyDescent="0.3">
      <c r="B35" t="s">
        <v>102</v>
      </c>
      <c r="D35" t="s">
        <v>108</v>
      </c>
      <c r="E35" s="67">
        <v>0.2</v>
      </c>
      <c r="F35">
        <v>10</v>
      </c>
      <c r="G35">
        <f t="shared" ref="G35:G39" si="9">E35*F35</f>
        <v>2</v>
      </c>
      <c r="H35">
        <v>10</v>
      </c>
      <c r="I35">
        <f t="shared" si="8"/>
        <v>2</v>
      </c>
    </row>
    <row r="36" spans="2:9" x14ac:dyDescent="0.3">
      <c r="B36" t="s">
        <v>103</v>
      </c>
      <c r="D36" s="64">
        <v>1</v>
      </c>
      <c r="E36" s="67">
        <v>0.1</v>
      </c>
      <c r="F36">
        <v>10</v>
      </c>
      <c r="G36">
        <f t="shared" si="9"/>
        <v>1</v>
      </c>
      <c r="H36">
        <v>10</v>
      </c>
      <c r="I36">
        <f t="shared" si="8"/>
        <v>1</v>
      </c>
    </row>
    <row r="37" spans="2:9" x14ac:dyDescent="0.3">
      <c r="B37" t="s">
        <v>104</v>
      </c>
      <c r="D37" t="s">
        <v>76</v>
      </c>
      <c r="E37" s="67">
        <v>0.1</v>
      </c>
      <c r="F37">
        <v>10</v>
      </c>
      <c r="G37">
        <f t="shared" si="9"/>
        <v>1</v>
      </c>
      <c r="H37">
        <v>10</v>
      </c>
      <c r="I37">
        <f t="shared" si="8"/>
        <v>1</v>
      </c>
    </row>
    <row r="38" spans="2:9" x14ac:dyDescent="0.3">
      <c r="B38" t="s">
        <v>105</v>
      </c>
      <c r="D38" s="68">
        <v>0</v>
      </c>
      <c r="E38" s="67">
        <v>0.2</v>
      </c>
      <c r="F38">
        <v>10</v>
      </c>
      <c r="G38">
        <f t="shared" si="9"/>
        <v>2</v>
      </c>
      <c r="H38">
        <v>10</v>
      </c>
      <c r="I38">
        <f t="shared" si="8"/>
        <v>2</v>
      </c>
    </row>
    <row r="39" spans="2:9" x14ac:dyDescent="0.3">
      <c r="B39" t="s">
        <v>106</v>
      </c>
      <c r="D39" t="s">
        <v>109</v>
      </c>
      <c r="E39" s="67">
        <v>0.2</v>
      </c>
      <c r="F39">
        <v>10</v>
      </c>
      <c r="G39">
        <f t="shared" si="9"/>
        <v>2</v>
      </c>
      <c r="H39">
        <v>10</v>
      </c>
      <c r="I39">
        <f t="shared" si="8"/>
        <v>2</v>
      </c>
    </row>
    <row r="41" spans="2:9" x14ac:dyDescent="0.3">
      <c r="B41" s="65" t="s">
        <v>59</v>
      </c>
      <c r="G41">
        <f>SUM(G43:G46)</f>
        <v>10</v>
      </c>
      <c r="I41">
        <f>SUM(I43:I46)</f>
        <v>10</v>
      </c>
    </row>
    <row r="42" spans="2:9" x14ac:dyDescent="0.3">
      <c r="B42" s="65" t="s">
        <v>72</v>
      </c>
      <c r="C42" s="65" t="s">
        <v>73</v>
      </c>
      <c r="D42" s="65" t="s">
        <v>74</v>
      </c>
      <c r="E42" s="65" t="s">
        <v>78</v>
      </c>
      <c r="F42" s="65" t="s">
        <v>80</v>
      </c>
      <c r="G42" s="65" t="s">
        <v>79</v>
      </c>
      <c r="H42" s="65" t="s">
        <v>80</v>
      </c>
      <c r="I42" s="65" t="s">
        <v>79</v>
      </c>
    </row>
    <row r="43" spans="2:9" x14ac:dyDescent="0.3">
      <c r="B43" t="s">
        <v>110</v>
      </c>
      <c r="D43" s="68">
        <v>0</v>
      </c>
      <c r="E43" s="67">
        <v>0.7</v>
      </c>
      <c r="F43">
        <v>10</v>
      </c>
      <c r="G43">
        <f>E43*F43</f>
        <v>7</v>
      </c>
      <c r="H43">
        <v>10</v>
      </c>
      <c r="I43">
        <f t="shared" ref="I43:I46" si="10">E43*H43</f>
        <v>7</v>
      </c>
    </row>
    <row r="44" spans="2:9" x14ac:dyDescent="0.3">
      <c r="B44" t="s">
        <v>111</v>
      </c>
      <c r="D44" t="s">
        <v>115</v>
      </c>
      <c r="E44" s="67">
        <v>0.1</v>
      </c>
      <c r="F44">
        <v>10</v>
      </c>
      <c r="G44">
        <f t="shared" ref="G44:G46" si="11">E44*F44</f>
        <v>1</v>
      </c>
      <c r="H44">
        <v>10</v>
      </c>
      <c r="I44">
        <f t="shared" si="10"/>
        <v>1</v>
      </c>
    </row>
    <row r="45" spans="2:9" x14ac:dyDescent="0.3">
      <c r="B45" t="s">
        <v>112</v>
      </c>
      <c r="D45" t="s">
        <v>75</v>
      </c>
      <c r="E45" s="67">
        <v>0.1</v>
      </c>
      <c r="F45">
        <v>10</v>
      </c>
      <c r="G45">
        <f t="shared" si="11"/>
        <v>1</v>
      </c>
      <c r="H45">
        <v>10</v>
      </c>
      <c r="I45">
        <f t="shared" si="10"/>
        <v>1</v>
      </c>
    </row>
    <row r="46" spans="2:9" ht="57.6" x14ac:dyDescent="0.3">
      <c r="B46" t="s">
        <v>113</v>
      </c>
      <c r="D46" s="69" t="s">
        <v>114</v>
      </c>
      <c r="E46" s="67">
        <v>0.1</v>
      </c>
      <c r="F46">
        <v>10</v>
      </c>
      <c r="G46">
        <f t="shared" si="11"/>
        <v>1</v>
      </c>
      <c r="H46">
        <v>10</v>
      </c>
      <c r="I46">
        <f t="shared" si="10"/>
        <v>1</v>
      </c>
    </row>
    <row r="48" spans="2:9" x14ac:dyDescent="0.3">
      <c r="B48" s="65" t="s">
        <v>57</v>
      </c>
      <c r="G48">
        <f>SUM(G50:G51)</f>
        <v>10</v>
      </c>
      <c r="I48">
        <f>SUM(I50:I51)</f>
        <v>10</v>
      </c>
    </row>
    <row r="49" spans="2:9" x14ac:dyDescent="0.3">
      <c r="B49" s="65" t="s">
        <v>72</v>
      </c>
      <c r="C49" s="65" t="s">
        <v>73</v>
      </c>
      <c r="D49" s="65" t="s">
        <v>74</v>
      </c>
      <c r="E49" s="65" t="s">
        <v>78</v>
      </c>
      <c r="F49" s="65" t="s">
        <v>80</v>
      </c>
      <c r="G49" s="65" t="s">
        <v>79</v>
      </c>
      <c r="H49" s="65" t="s">
        <v>80</v>
      </c>
      <c r="I49" s="65" t="s">
        <v>79</v>
      </c>
    </row>
    <row r="50" spans="2:9" ht="28.8" x14ac:dyDescent="0.3">
      <c r="B50" s="69" t="s">
        <v>116</v>
      </c>
      <c r="E50" s="67">
        <v>0.5</v>
      </c>
      <c r="F50">
        <v>10</v>
      </c>
      <c r="G50">
        <f>E50*F50</f>
        <v>5</v>
      </c>
      <c r="H50">
        <v>10</v>
      </c>
      <c r="I50">
        <f t="shared" ref="I50:I51" si="12">E50*H50</f>
        <v>5</v>
      </c>
    </row>
    <row r="51" spans="2:9" ht="28.8" x14ac:dyDescent="0.3">
      <c r="B51" s="69" t="s">
        <v>117</v>
      </c>
      <c r="E51" s="67">
        <v>0.5</v>
      </c>
      <c r="F51">
        <v>10</v>
      </c>
      <c r="G51">
        <f t="shared" ref="G51" si="13">E51*F51</f>
        <v>5</v>
      </c>
      <c r="H51">
        <v>10</v>
      </c>
      <c r="I51">
        <f t="shared" si="12"/>
        <v>5</v>
      </c>
    </row>
  </sheetData>
  <mergeCells count="2">
    <mergeCell ref="F1:G1"/>
    <mergeCell ref="H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TP_Ky_thuat</vt:lpstr>
      <vt:lpstr>Sheet1</vt:lpstr>
      <vt:lpstr>TP_Ky_thuat!Print_Area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Cường</dc:creator>
  <cp:lastModifiedBy>Long HMI</cp:lastModifiedBy>
  <cp:lastPrinted>2026-08-20T10:26:17Z</cp:lastPrinted>
  <dcterms:created xsi:type="dcterms:W3CDTF">2026-08-20T10:13:29Z</dcterms:created>
  <dcterms:modified xsi:type="dcterms:W3CDTF">2026-08-21T04:34:34Z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2026-08-20T10:14:10Z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724dde99-7e70-4069-8892-5e6df9802e3b</vt:lpwstr>
  </property>
  <property fmtid="{D5CDD505-2E9C-101B-9397-08002B2CF9AE}" pid="7" name="MSIP_Label_defa4170-0d19-0005-0004-bc88714345d2_ActionId">
    <vt:lpwstr>9f05891a-654f-4249-966e-656a06d7fd08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